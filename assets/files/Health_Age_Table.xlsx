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projects\healthAge\healthAge\assets\files\"/>
    </mc:Choice>
  </mc:AlternateContent>
  <xr:revisionPtr revIDLastSave="0" documentId="13_ncr:1_{E61B804F-A868-4BC5-B5B8-B37C1FDBB6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X36" i="2" l="1"/>
  <c r="AA2" i="2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AB2" i="2"/>
  <c r="AA3" i="2"/>
  <c r="C3" i="2"/>
  <c r="D3" i="2"/>
  <c r="E3" i="2" s="1"/>
  <c r="F3" i="2" s="1"/>
  <c r="G3" i="2" s="1"/>
  <c r="H3" i="2" s="1"/>
  <c r="I3" i="2" s="1"/>
  <c r="J3" i="2" s="1"/>
  <c r="K3" i="2" s="1"/>
  <c r="L3" i="2" s="1"/>
  <c r="M3" i="2" s="1"/>
  <c r="N3" i="2" s="1"/>
  <c r="AB3" i="2"/>
  <c r="AA4" i="2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AB4" i="2"/>
  <c r="AA5" i="2"/>
  <c r="C5" i="2" s="1"/>
  <c r="D5" i="2" s="1"/>
  <c r="E5" i="2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AB5" i="2"/>
  <c r="AA6" i="2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AB6" i="2"/>
  <c r="B7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36" i="2"/>
  <c r="AB46" i="2"/>
  <c r="AB56" i="2"/>
  <c r="C57" i="2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C58" i="2"/>
  <c r="D58" i="2" s="1"/>
  <c r="E58" i="2" s="1"/>
  <c r="F58" i="2"/>
  <c r="G58" i="2" s="1"/>
  <c r="H58" i="2" s="1"/>
  <c r="I58" i="2" s="1"/>
  <c r="J58" i="2" s="1"/>
  <c r="K58" i="2" s="1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C59" i="2"/>
  <c r="D59" i="2"/>
  <c r="E59" i="2" s="1"/>
  <c r="F59" i="2" s="1"/>
  <c r="G59" i="2" s="1"/>
  <c r="H59" i="2" s="1"/>
  <c r="I59" i="2" s="1"/>
  <c r="J59" i="2" s="1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C60" i="2"/>
  <c r="D60" i="2" s="1"/>
  <c r="E60" i="2" s="1"/>
  <c r="F60" i="2" s="1"/>
  <c r="G60" i="2" s="1"/>
  <c r="H60" i="2" s="1"/>
  <c r="I60" i="2" s="1"/>
  <c r="J60" i="2" s="1"/>
  <c r="K60" i="2" s="1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C61" i="2"/>
  <c r="D61" i="2" s="1"/>
  <c r="E61" i="2" s="1"/>
  <c r="F61" i="2" s="1"/>
  <c r="G61" i="2" s="1"/>
  <c r="H61" i="2" s="1"/>
  <c r="I61" i="2" s="1"/>
  <c r="J61" i="2" s="1"/>
  <c r="K61" i="2" s="1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C62" i="2"/>
  <c r="D62" i="2" s="1"/>
  <c r="E62" i="2" s="1"/>
  <c r="F62" i="2" s="1"/>
  <c r="G62" i="2" s="1"/>
  <c r="H62" i="2" s="1"/>
  <c r="I62" i="2" s="1"/>
  <c r="J62" i="2" s="1"/>
  <c r="K62" i="2" s="1"/>
  <c r="L62" i="2" s="1"/>
  <c r="M62" i="2" s="1"/>
  <c r="N62" i="2" s="1"/>
  <c r="O62" i="2" s="1"/>
  <c r="P62" i="2" s="1"/>
  <c r="Q62" i="2" s="1"/>
  <c r="R62" i="2" s="1"/>
  <c r="S62" i="2" s="1"/>
  <c r="T62" i="2" s="1"/>
  <c r="U62" i="2" s="1"/>
  <c r="V62" i="2" s="1"/>
  <c r="W62" i="2" s="1"/>
  <c r="X62" i="2" s="1"/>
  <c r="Y62" i="2" s="1"/>
  <c r="C63" i="2"/>
  <c r="D63" i="2"/>
  <c r="E63" i="2" s="1"/>
  <c r="F63" i="2"/>
  <c r="G63" i="2" s="1"/>
  <c r="H63" i="2" s="1"/>
  <c r="I63" i="2" s="1"/>
  <c r="J63" i="2" s="1"/>
  <c r="K63" i="2" s="1"/>
  <c r="L63" i="2" s="1"/>
  <c r="M63" i="2" s="1"/>
  <c r="N63" i="2" s="1"/>
  <c r="O63" i="2" s="1"/>
  <c r="P63" i="2" s="1"/>
  <c r="Q63" i="2" s="1"/>
  <c r="R63" i="2" s="1"/>
  <c r="S63" i="2" s="1"/>
  <c r="T63" i="2" s="1"/>
  <c r="U63" i="2" s="1"/>
  <c r="V63" i="2" s="1"/>
  <c r="W63" i="2" s="1"/>
  <c r="X63" i="2" s="1"/>
  <c r="Y63" i="2" s="1"/>
  <c r="C64" i="2"/>
  <c r="D64" i="2" s="1"/>
  <c r="E64" i="2" s="1"/>
  <c r="F64" i="2" s="1"/>
  <c r="G64" i="2" s="1"/>
  <c r="H64" i="2" s="1"/>
  <c r="I64" i="2" s="1"/>
  <c r="J64" i="2" s="1"/>
  <c r="K64" i="2" s="1"/>
  <c r="L64" i="2" s="1"/>
  <c r="M64" i="2" s="1"/>
  <c r="N64" i="2" s="1"/>
  <c r="O64" i="2" s="1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C65" i="2"/>
  <c r="D65" i="2"/>
  <c r="E65" i="2"/>
  <c r="F65" i="2" s="1"/>
  <c r="G65" i="2" s="1"/>
  <c r="H65" i="2" s="1"/>
  <c r="I65" i="2" s="1"/>
  <c r="J65" i="2" s="1"/>
  <c r="K65" i="2" s="1"/>
  <c r="L65" i="2" s="1"/>
  <c r="M65" i="2" s="1"/>
  <c r="N65" i="2" s="1"/>
  <c r="O65" i="2" s="1"/>
  <c r="P65" i="2" s="1"/>
  <c r="Q65" i="2" s="1"/>
  <c r="R65" i="2" s="1"/>
  <c r="S65" i="2" s="1"/>
  <c r="T65" i="2" s="1"/>
  <c r="U65" i="2" s="1"/>
  <c r="V65" i="2" s="1"/>
  <c r="W65" i="2" s="1"/>
  <c r="X65" i="2" s="1"/>
  <c r="Y65" i="2" s="1"/>
  <c r="C66" i="2"/>
  <c r="D66" i="2" s="1"/>
  <c r="E66" i="2" s="1"/>
  <c r="F66" i="2" s="1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O3" i="2" l="1"/>
  <c r="P3" i="2" s="1"/>
  <c r="Q3" i="2" s="1"/>
  <c r="R3" i="2" s="1"/>
  <c r="S3" i="2" s="1"/>
  <c r="T3" i="2" s="1"/>
  <c r="U3" i="2" s="1"/>
  <c r="V3" i="2" s="1"/>
  <c r="W3" i="2" s="1"/>
  <c r="X3" i="2" s="1"/>
  <c r="Y3" i="2" s="1"/>
  <c r="AA7" i="2"/>
  <c r="C7" i="2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B8" i="2"/>
  <c r="AA8" i="2" l="1"/>
  <c r="C8" i="2"/>
  <c r="D8" i="2" s="1"/>
  <c r="E8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B9" i="2"/>
  <c r="B10" i="2" l="1"/>
  <c r="AA9" i="2"/>
  <c r="C9" i="2" s="1"/>
  <c r="D9" i="2" s="1"/>
  <c r="E9" i="2" s="1"/>
  <c r="F9" i="2" s="1"/>
  <c r="G9" i="2" s="1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AA10" i="2" l="1"/>
  <c r="B11" i="2"/>
  <c r="C10" i="2"/>
  <c r="D10" i="2" s="1"/>
  <c r="E10" i="2" s="1"/>
  <c r="F10" i="2" s="1"/>
  <c r="G10" i="2" s="1"/>
  <c r="H10" i="2" s="1"/>
  <c r="I10" i="2" s="1"/>
  <c r="J10" i="2" s="1"/>
  <c r="K10" i="2" s="1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B12" i="2" l="1"/>
  <c r="AA11" i="2"/>
  <c r="C11" i="2"/>
  <c r="D11" i="2" s="1"/>
  <c r="E11" i="2" s="1"/>
  <c r="F11" i="2" s="1"/>
  <c r="G11" i="2" s="1"/>
  <c r="H11" i="2" s="1"/>
  <c r="I11" i="2" s="1"/>
  <c r="J11" i="2" s="1"/>
  <c r="K11" i="2" s="1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AA12" i="2" l="1"/>
  <c r="B13" i="2"/>
  <c r="C12" i="2"/>
  <c r="D12" i="2" s="1"/>
  <c r="E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B14" i="2" l="1"/>
  <c r="AA13" i="2"/>
  <c r="C13" i="2"/>
  <c r="D13" i="2" s="1"/>
  <c r="E13" i="2" s="1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AA14" i="2" l="1"/>
  <c r="C14" i="2"/>
  <c r="D14" i="2" s="1"/>
  <c r="E14" i="2" s="1"/>
  <c r="F14" i="2" s="1"/>
  <c r="G14" i="2" s="1"/>
  <c r="H14" i="2" s="1"/>
  <c r="I14" i="2" s="1"/>
  <c r="J14" i="2" s="1"/>
  <c r="K14" i="2" s="1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B15" i="2"/>
  <c r="AA15" i="2" l="1"/>
  <c r="C15" i="2"/>
  <c r="D15" i="2" s="1"/>
  <c r="E15" i="2" s="1"/>
  <c r="F15" i="2" s="1"/>
  <c r="G15" i="2" s="1"/>
  <c r="H15" i="2" s="1"/>
  <c r="I15" i="2" s="1"/>
  <c r="J15" i="2" s="1"/>
  <c r="K15" i="2" s="1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B16" i="2"/>
  <c r="B17" i="2" l="1"/>
  <c r="AA16" i="2"/>
  <c r="C16" i="2" s="1"/>
  <c r="D16" i="2" s="1"/>
  <c r="E16" i="2" s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AA17" i="2" l="1"/>
  <c r="C17" i="2"/>
  <c r="D17" i="2" s="1"/>
  <c r="E17" i="2" s="1"/>
  <c r="F17" i="2" s="1"/>
  <c r="G17" i="2" s="1"/>
  <c r="H17" i="2" s="1"/>
  <c r="I17" i="2" s="1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B18" i="2"/>
  <c r="AA18" i="2" l="1"/>
  <c r="B19" i="2"/>
  <c r="C18" i="2"/>
  <c r="D18" i="2" s="1"/>
  <c r="E18" i="2" s="1"/>
  <c r="F18" i="2" s="1"/>
  <c r="G18" i="2" s="1"/>
  <c r="H18" i="2" s="1"/>
  <c r="I18" i="2" s="1"/>
  <c r="J18" i="2" s="1"/>
  <c r="K18" i="2" s="1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AA19" i="2" l="1"/>
  <c r="C19" i="2" s="1"/>
  <c r="D19" i="2" s="1"/>
  <c r="E19" i="2" s="1"/>
  <c r="F19" i="2" s="1"/>
  <c r="G19" i="2" s="1"/>
  <c r="H19" i="2" s="1"/>
  <c r="I19" i="2" s="1"/>
  <c r="J19" i="2" s="1"/>
  <c r="K19" i="2" s="1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B20" i="2"/>
  <c r="AA20" i="2" l="1"/>
  <c r="C20" i="2"/>
  <c r="D20" i="2" s="1"/>
  <c r="E20" i="2" s="1"/>
  <c r="F20" i="2" s="1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B21" i="2"/>
  <c r="AA21" i="2" l="1"/>
  <c r="C21" i="2"/>
  <c r="D21" i="2" s="1"/>
  <c r="E21" i="2" s="1"/>
  <c r="F21" i="2" s="1"/>
  <c r="G21" i="2" s="1"/>
  <c r="H21" i="2" s="1"/>
  <c r="I21" i="2" s="1"/>
  <c r="J21" i="2" s="1"/>
  <c r="K21" i="2" s="1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B22" i="2"/>
  <c r="B23" i="2" l="1"/>
  <c r="AA22" i="2"/>
  <c r="C22" i="2" s="1"/>
  <c r="D22" i="2" s="1"/>
  <c r="E22" i="2" s="1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AA23" i="2" l="1"/>
  <c r="B24" i="2"/>
  <c r="C23" i="2"/>
  <c r="D23" i="2" s="1"/>
  <c r="E23" i="2" s="1"/>
  <c r="F23" i="2" s="1"/>
  <c r="G23" i="2" s="1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B25" i="2" l="1"/>
  <c r="AA24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AA25" i="2" l="1"/>
  <c r="B26" i="2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B27" i="2" l="1"/>
  <c r="AA26" i="2"/>
  <c r="C26" i="2" s="1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AA27" i="2" l="1"/>
  <c r="B28" i="2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B29" i="2" l="1"/>
  <c r="AA28" i="2"/>
  <c r="C28" i="2" s="1"/>
  <c r="D28" i="2" s="1"/>
  <c r="E28" i="2" s="1"/>
  <c r="F28" i="2" s="1"/>
  <c r="G28" i="2" s="1"/>
  <c r="H28" i="2" s="1"/>
  <c r="I28" i="2" s="1"/>
  <c r="J28" i="2" s="1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B30" i="2" l="1"/>
  <c r="AA29" i="2"/>
  <c r="C29" i="2" s="1"/>
  <c r="D29" i="2" s="1"/>
  <c r="E29" i="2" s="1"/>
  <c r="F29" i="2" s="1"/>
  <c r="G29" i="2" s="1"/>
  <c r="H29" i="2" s="1"/>
  <c r="I29" i="2" s="1"/>
  <c r="J29" i="2" s="1"/>
  <c r="K29" i="2" s="1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AA30" i="2" l="1"/>
  <c r="B31" i="2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B32" i="2" l="1"/>
  <c r="AA31" i="2"/>
  <c r="C31" i="2" s="1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B33" i="2" l="1"/>
  <c r="AA32" i="2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AA33" i="2" l="1"/>
  <c r="C33" i="2" s="1"/>
  <c r="D33" i="2" s="1"/>
  <c r="E33" i="2" s="1"/>
  <c r="F33" i="2" s="1"/>
  <c r="G33" i="2" s="1"/>
  <c r="H33" i="2" s="1"/>
  <c r="I33" i="2" s="1"/>
  <c r="J33" i="2" s="1"/>
  <c r="K33" i="2" s="1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B34" i="2"/>
  <c r="AA34" i="2" l="1"/>
  <c r="B35" i="2"/>
  <c r="C34" i="2"/>
  <c r="D34" i="2" s="1"/>
  <c r="E34" i="2" s="1"/>
  <c r="F34" i="2" s="1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B36" i="2" l="1"/>
  <c r="AA35" i="2"/>
  <c r="C35" i="2"/>
  <c r="D35" i="2" s="1"/>
  <c r="E35" i="2" s="1"/>
  <c r="F35" i="2" s="1"/>
  <c r="G35" i="2" s="1"/>
  <c r="H35" i="2" s="1"/>
  <c r="I35" i="2" s="1"/>
  <c r="J35" i="2" s="1"/>
  <c r="K35" i="2" s="1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B37" i="2" l="1"/>
  <c r="AA36" i="2"/>
  <c r="C36" i="2"/>
  <c r="D36" i="2" s="1"/>
  <c r="E36" i="2" s="1"/>
  <c r="F36" i="2" s="1"/>
  <c r="G36" i="2" s="1"/>
  <c r="H36" i="2" s="1"/>
  <c r="I36" i="2" s="1"/>
  <c r="J36" i="2" s="1"/>
  <c r="K36" i="2" s="1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Y36" i="2" s="1"/>
  <c r="AA37" i="2" l="1"/>
  <c r="B38" i="2"/>
  <c r="C37" i="2"/>
  <c r="D37" i="2" s="1"/>
  <c r="E37" i="2" s="1"/>
  <c r="F37" i="2" s="1"/>
  <c r="G37" i="2" s="1"/>
  <c r="H37" i="2" s="1"/>
  <c r="I37" i="2" s="1"/>
  <c r="J37" i="2" s="1"/>
  <c r="K37" i="2" s="1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B39" i="2" l="1"/>
  <c r="AA38" i="2"/>
  <c r="C38" i="2" s="1"/>
  <c r="D38" i="2" s="1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B40" i="2" l="1"/>
  <c r="AA39" i="2"/>
  <c r="C39" i="2"/>
  <c r="D39" i="2" s="1"/>
  <c r="E39" i="2" s="1"/>
  <c r="F39" i="2" s="1"/>
  <c r="G39" i="2" s="1"/>
  <c r="H39" i="2" s="1"/>
  <c r="I39" i="2" s="1"/>
  <c r="J39" i="2" s="1"/>
  <c r="K39" i="2" s="1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AA40" i="2" l="1"/>
  <c r="C40" i="2" s="1"/>
  <c r="D40" i="2" s="1"/>
  <c r="E40" i="2" s="1"/>
  <c r="F40" i="2" s="1"/>
  <c r="G40" i="2" s="1"/>
  <c r="H40" i="2" s="1"/>
  <c r="I40" i="2" s="1"/>
  <c r="J40" i="2" s="1"/>
  <c r="K40" i="2" s="1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B41" i="2"/>
  <c r="AA41" i="2" l="1"/>
  <c r="B42" i="2"/>
  <c r="C41" i="2"/>
  <c r="D41" i="2" s="1"/>
  <c r="E41" i="2" s="1"/>
  <c r="F41" i="2" s="1"/>
  <c r="G41" i="2" s="1"/>
  <c r="H41" i="2" s="1"/>
  <c r="I41" i="2" s="1"/>
  <c r="J41" i="2" s="1"/>
  <c r="K41" i="2" s="1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B43" i="2" l="1"/>
  <c r="AA42" i="2"/>
  <c r="C42" i="2"/>
  <c r="D42" i="2" s="1"/>
  <c r="E42" i="2" s="1"/>
  <c r="F42" i="2" s="1"/>
  <c r="G42" i="2" s="1"/>
  <c r="H42" i="2" s="1"/>
  <c r="I42" i="2" s="1"/>
  <c r="J42" i="2" s="1"/>
  <c r="K42" i="2" s="1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AA43" i="2" l="1"/>
  <c r="C43" i="2" s="1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B44" i="2"/>
  <c r="B45" i="2" l="1"/>
  <c r="AA44" i="2"/>
  <c r="C44" i="2" s="1"/>
  <c r="D44" i="2" s="1"/>
  <c r="E44" i="2" s="1"/>
  <c r="F44" i="2" s="1"/>
  <c r="G44" i="2" s="1"/>
  <c r="H44" i="2" s="1"/>
  <c r="I44" i="2" s="1"/>
  <c r="J44" i="2" s="1"/>
  <c r="K44" i="2" s="1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AA45" i="2" l="1"/>
  <c r="C45" i="2" s="1"/>
  <c r="D45" i="2" s="1"/>
  <c r="E45" i="2" s="1"/>
  <c r="F45" i="2" s="1"/>
  <c r="G45" i="2" s="1"/>
  <c r="H45" i="2" s="1"/>
  <c r="I45" i="2" s="1"/>
  <c r="J45" i="2" s="1"/>
  <c r="K45" i="2" s="1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B46" i="2"/>
  <c r="AA46" i="2" l="1"/>
  <c r="C46" i="2"/>
  <c r="D46" i="2" s="1"/>
  <c r="E46" i="2" s="1"/>
  <c r="F46" i="2" s="1"/>
  <c r="G46" i="2" s="1"/>
  <c r="H46" i="2" s="1"/>
  <c r="I46" i="2" s="1"/>
  <c r="J46" i="2" s="1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B47" i="2"/>
  <c r="B48" i="2" l="1"/>
  <c r="AA47" i="2"/>
  <c r="C47" i="2" s="1"/>
  <c r="D47" i="2" s="1"/>
  <c r="E47" i="2" s="1"/>
  <c r="F47" i="2" s="1"/>
  <c r="G47" i="2" s="1"/>
  <c r="H47" i="2" s="1"/>
  <c r="I47" i="2" s="1"/>
  <c r="J47" i="2" s="1"/>
  <c r="K47" i="2" s="1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AA48" i="2" l="1"/>
  <c r="C48" i="2" s="1"/>
  <c r="D48" i="2" s="1"/>
  <c r="E48" i="2" s="1"/>
  <c r="F48" i="2" s="1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B49" i="2"/>
  <c r="AA49" i="2" l="1"/>
  <c r="B50" i="2"/>
  <c r="C49" i="2"/>
  <c r="D49" i="2" s="1"/>
  <c r="E49" i="2" s="1"/>
  <c r="F49" i="2" s="1"/>
  <c r="G49" i="2" s="1"/>
  <c r="H49" i="2" s="1"/>
  <c r="I49" i="2" s="1"/>
  <c r="J49" i="2" s="1"/>
  <c r="K49" i="2" s="1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AA50" i="2" l="1"/>
  <c r="B51" i="2"/>
  <c r="C50" i="2"/>
  <c r="D50" i="2" s="1"/>
  <c r="E50" i="2" s="1"/>
  <c r="F50" i="2" s="1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AA51" i="2" l="1"/>
  <c r="B52" i="2"/>
  <c r="C51" i="2"/>
  <c r="D51" i="2" s="1"/>
  <c r="E51" i="2" s="1"/>
  <c r="F51" i="2" s="1"/>
  <c r="G51" i="2" s="1"/>
  <c r="H51" i="2" s="1"/>
  <c r="I51" i="2" s="1"/>
  <c r="J51" i="2" s="1"/>
  <c r="K51" i="2" s="1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AA52" i="2" l="1"/>
  <c r="C52" i="2" s="1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B53" i="2"/>
  <c r="AA53" i="2" l="1"/>
  <c r="B54" i="2"/>
  <c r="C53" i="2"/>
  <c r="D53" i="2" s="1"/>
  <c r="E53" i="2" s="1"/>
  <c r="F53" i="2" s="1"/>
  <c r="G53" i="2" s="1"/>
  <c r="H53" i="2" s="1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B55" i="2" l="1"/>
  <c r="AA54" i="2"/>
  <c r="C54" i="2"/>
  <c r="D54" i="2" s="1"/>
  <c r="E54" i="2" s="1"/>
  <c r="F54" i="2" s="1"/>
  <c r="G54" i="2" s="1"/>
  <c r="H54" i="2" s="1"/>
  <c r="I54" i="2" s="1"/>
  <c r="J54" i="2" s="1"/>
  <c r="K54" i="2" s="1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B56" i="2" l="1"/>
  <c r="AA55" i="2"/>
  <c r="C55" i="2" s="1"/>
  <c r="D55" i="2" s="1"/>
  <c r="E55" i="2" s="1"/>
  <c r="F55" i="2" s="1"/>
  <c r="G55" i="2" s="1"/>
  <c r="H55" i="2" s="1"/>
  <c r="I55" i="2" s="1"/>
  <c r="J55" i="2" s="1"/>
  <c r="K55" i="2" s="1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AA56" i="2" l="1"/>
  <c r="C56" i="2" s="1"/>
  <c r="D56" i="2" s="1"/>
  <c r="E56" i="2" s="1"/>
  <c r="F56" i="2" s="1"/>
  <c r="G56" i="2" s="1"/>
  <c r="H56" i="2" s="1"/>
  <c r="I56" i="2" s="1"/>
  <c r="J56" i="2" s="1"/>
  <c r="K56" i="2" s="1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</calcChain>
</file>

<file path=xl/sharedStrings.xml><?xml version="1.0" encoding="utf-8"?>
<sst xmlns="http://schemas.openxmlformats.org/spreadsheetml/2006/main" count="29" uniqueCount="29">
  <si>
    <t>Age</t>
  </si>
  <si>
    <t>Habit Score: 3</t>
  </si>
  <si>
    <t>Habit Score: 4</t>
  </si>
  <si>
    <t>Habit Score: 5</t>
  </si>
  <si>
    <t>Habit Score: 6</t>
  </si>
  <si>
    <t>Habit Score: 7</t>
  </si>
  <si>
    <t>Habit Score: 8.5</t>
    <phoneticPr fontId="1" type="noConversion"/>
  </si>
  <si>
    <t xml:space="preserve">Habit Score: 10 </t>
    <phoneticPr fontId="1" type="noConversion"/>
  </si>
  <si>
    <t>Habit Score: 11</t>
    <phoneticPr fontId="1" type="noConversion"/>
  </si>
  <si>
    <t>Habit Score: 12</t>
    <phoneticPr fontId="1" type="noConversion"/>
  </si>
  <si>
    <t>original</t>
    <phoneticPr fontId="1" type="noConversion"/>
  </si>
  <si>
    <t>7 original</t>
    <phoneticPr fontId="1" type="noConversion"/>
  </si>
  <si>
    <t>0-6.5</t>
    <phoneticPr fontId="1" type="noConversion"/>
  </si>
  <si>
    <t>7-12</t>
    <phoneticPr fontId="1" type="noConversion"/>
  </si>
  <si>
    <t>Habit Score: 0</t>
  </si>
  <si>
    <t>Habit Score: 1</t>
  </si>
  <si>
    <t>Habit Score: 1.5</t>
  </si>
  <si>
    <t>Habit Score: 2</t>
  </si>
  <si>
    <t>Habit Score: 2.5</t>
  </si>
  <si>
    <t>Habit Score: 3.5</t>
  </si>
  <si>
    <t>Habit Score: 4.5</t>
  </si>
  <si>
    <t>Habit Score: 5.5</t>
  </si>
  <si>
    <t>Habit Score: 6.5</t>
  </si>
  <si>
    <t xml:space="preserve">Habit Score: 7.5 </t>
  </si>
  <si>
    <t xml:space="preserve">Habit Score: 8 </t>
  </si>
  <si>
    <t>Habit Score: 9</t>
  </si>
  <si>
    <t>Habit Score: 9.5</t>
  </si>
  <si>
    <t>Habit Score: 11.5</t>
  </si>
  <si>
    <t>Habit Score: 10.5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</si>
</sst>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sz val="8"/>
      <name val="Arial"/>
      <family val="2"/>
    </font>
    <font>
      <sz val="11.5"/>
      <name val="Tahoma"/>
      <family val="2"/>
    </font>
    <font>
      <b/>
      <sz val="11.5"/>
      <name val="Tahoma"/>
      <family val="2"/>
    </font>
    <font>
      <b/>
      <sz val="10.5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.5"/>
      <name val="Tahoma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164" fontId="7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8" fillId="0" borderId="0" xfId="0" applyFont="1"/>
    <xf numFmtId="2" fontId="8" fillId="0" borderId="0" xfId="0" applyNumberFormat="1" applyFont="1"/>
    <xf numFmtId="0" fontId="3" fillId="0" borderId="2" xfId="0" applyFont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8" fillId="2" borderId="0" xfId="0" applyFont="1" applyFill="1"/>
    <xf numFmtId="164" fontId="8" fillId="0" borderId="1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2" fontId="3" fillId="0" borderId="0" xfId="0" applyNumberFormat="1" applyFont="1" applyAlignment="1">
      <alignment horizontal="center" wrapText="1"/>
    </xf>
    <xf numFmtId="2" fontId="5" fillId="0" borderId="0" xfId="0" applyNumberFormat="1" applyFont="1"/>
    <xf numFmtId="2" fontId="8" fillId="2" borderId="0" xfId="0" applyNumberFormat="1" applyFont="1" applyFill="1"/>
    <xf numFmtId="2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7"/>
  <sheetViews>
    <sheetView tabSelected="1" topLeftCell="I1" zoomScale="111" zoomScaleNormal="111" zoomScalePageLayoutView="111" workbookViewId="0">
      <selection activeCell="V1" sqref="V1"/>
    </sheetView>
  </sheetViews>
  <sheetFormatPr defaultColWidth="8.77734375" defaultRowHeight="13.2" x14ac:dyDescent="0.25"/>
  <cols>
    <col min="1" max="15" width="8.77734375" style="11"/>
    <col min="16" max="16" width="12.109375" style="11" customWidth="1"/>
    <col min="17" max="18" width="12.33203125" style="11" customWidth="1"/>
    <col min="19" max="19" width="8.77734375" style="11"/>
    <col min="20" max="20" width="11" style="11" customWidth="1"/>
    <col min="21" max="21" width="11.109375" style="11" customWidth="1"/>
    <col min="22" max="22" width="14.6640625" style="11" customWidth="1"/>
    <col min="23" max="23" width="12.109375" style="11" customWidth="1"/>
    <col min="24" max="24" width="12.6640625" style="11" customWidth="1"/>
    <col min="25" max="25" width="11.109375" style="11" customWidth="1"/>
    <col min="26" max="30" width="0" style="11" hidden="1" customWidth="1"/>
    <col min="31" max="16384" width="8.77734375" style="11"/>
  </cols>
  <sheetData>
    <row r="1" spans="1:30" s="10" customFormat="1" ht="43.2" x14ac:dyDescent="0.25">
      <c r="A1" s="2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</v>
      </c>
      <c r="H1" s="3" t="s">
        <v>19</v>
      </c>
      <c r="I1" s="3" t="s">
        <v>2</v>
      </c>
      <c r="J1" s="3" t="s">
        <v>20</v>
      </c>
      <c r="K1" s="3" t="s">
        <v>3</v>
      </c>
      <c r="L1" s="3" t="s">
        <v>21</v>
      </c>
      <c r="M1" s="3" t="s">
        <v>4</v>
      </c>
      <c r="N1" s="3" t="s">
        <v>22</v>
      </c>
      <c r="O1" s="3" t="s">
        <v>5</v>
      </c>
      <c r="P1" s="3" t="s">
        <v>23</v>
      </c>
      <c r="Q1" s="3" t="s">
        <v>24</v>
      </c>
      <c r="R1" s="3" t="s">
        <v>6</v>
      </c>
      <c r="S1" s="3" t="s">
        <v>25</v>
      </c>
      <c r="T1" s="3" t="s">
        <v>26</v>
      </c>
      <c r="U1" s="3" t="s">
        <v>7</v>
      </c>
      <c r="V1" s="3" t="s">
        <v>28</v>
      </c>
      <c r="W1" s="3" t="s">
        <v>8</v>
      </c>
      <c r="X1" s="3" t="s">
        <v>27</v>
      </c>
      <c r="Y1" s="3" t="s">
        <v>9</v>
      </c>
      <c r="AA1" s="13" t="s">
        <v>12</v>
      </c>
      <c r="AB1" s="14" t="s">
        <v>13</v>
      </c>
      <c r="AC1" s="8" t="s">
        <v>10</v>
      </c>
      <c r="AD1" s="8" t="s">
        <v>11</v>
      </c>
    </row>
    <row r="2" spans="1:30" s="10" customFormat="1" ht="14.4" x14ac:dyDescent="0.25">
      <c r="A2" s="2">
        <v>16</v>
      </c>
      <c r="B2" s="9">
        <v>13.1</v>
      </c>
      <c r="C2" s="4">
        <f>B2-AA2</f>
        <v>12.008333333333333</v>
      </c>
      <c r="D2" s="4">
        <f>C2-AA2</f>
        <v>10.916666666666666</v>
      </c>
      <c r="E2" s="4">
        <f>D2-AA2</f>
        <v>9.8249999999999993</v>
      </c>
      <c r="F2" s="4">
        <f>E2-AA2</f>
        <v>8.7333333333333325</v>
      </c>
      <c r="G2" s="4">
        <f>F2-AA2</f>
        <v>7.6416666666666657</v>
      </c>
      <c r="H2" s="4">
        <f>G2-AA2</f>
        <v>6.5499999999999989</v>
      </c>
      <c r="I2" s="4">
        <f t="shared" ref="I2:I8" si="0">H2-AA2</f>
        <v>5.4583333333333321</v>
      </c>
      <c r="J2" s="4">
        <f t="shared" ref="J2:J8" si="1">I2-AA2</f>
        <v>4.3666666666666654</v>
      </c>
      <c r="K2" s="4">
        <f t="shared" ref="K2:K8" si="2">J2-AA2</f>
        <v>3.2749999999999986</v>
      </c>
      <c r="L2" s="4">
        <f t="shared" ref="L2:L8" si="3">K2-AA2</f>
        <v>2.1833333333333318</v>
      </c>
      <c r="M2" s="4">
        <f t="shared" ref="M2:M8" si="4">L2-AA2</f>
        <v>1.0916666666666652</v>
      </c>
      <c r="N2" s="4">
        <f t="shared" ref="N2:O6" si="5">M2-AA2</f>
        <v>0</v>
      </c>
      <c r="O2" s="4">
        <f t="shared" si="5"/>
        <v>-0.40909090909090912</v>
      </c>
      <c r="P2" s="4">
        <f>O2-AB2</f>
        <v>-0.81818181818181823</v>
      </c>
      <c r="Q2" s="4">
        <f>P2-AB2</f>
        <v>-1.2272727272727273</v>
      </c>
      <c r="R2" s="4">
        <f>Q2-AB2</f>
        <v>-1.6363636363636365</v>
      </c>
      <c r="S2" s="4">
        <f>R2-AB2</f>
        <v>-2.0454545454545454</v>
      </c>
      <c r="T2" s="4">
        <f>S2-AB2</f>
        <v>-2.4545454545454546</v>
      </c>
      <c r="U2" s="4">
        <f>T2-AB2</f>
        <v>-2.8636363636363638</v>
      </c>
      <c r="V2" s="4">
        <f>U2-AB2</f>
        <v>-3.2727272727272729</v>
      </c>
      <c r="W2" s="4">
        <f>V2-AB2</f>
        <v>-3.6818181818181821</v>
      </c>
      <c r="X2" s="4">
        <f>W2-AB2</f>
        <v>-4.0909090909090908</v>
      </c>
      <c r="Y2" s="16">
        <f>X2-AB2</f>
        <v>-4.5</v>
      </c>
      <c r="AA2" s="12">
        <f>B2/12</f>
        <v>1.0916666666666666</v>
      </c>
      <c r="AB2" s="12">
        <f>4.5/11</f>
        <v>0.40909090909090912</v>
      </c>
      <c r="AC2" s="24"/>
      <c r="AD2" s="25"/>
    </row>
    <row r="3" spans="1:30" s="10" customFormat="1" ht="14.4" x14ac:dyDescent="0.25">
      <c r="A3" s="2">
        <v>17</v>
      </c>
      <c r="B3" s="9">
        <v>13.4</v>
      </c>
      <c r="C3" s="4">
        <f>B3-AA3</f>
        <v>12.283333333333333</v>
      </c>
      <c r="D3" s="4">
        <f>C3-AA3</f>
        <v>11.166666666666666</v>
      </c>
      <c r="E3" s="4">
        <f>D3-AA3</f>
        <v>10.049999999999999</v>
      </c>
      <c r="F3" s="4">
        <f>E3-AA3</f>
        <v>8.9333333333333318</v>
      </c>
      <c r="G3" s="4">
        <f>F3-AA3</f>
        <v>7.8166666666666647</v>
      </c>
      <c r="H3" s="4">
        <f>G3-AA3</f>
        <v>6.6999999999999975</v>
      </c>
      <c r="I3" s="4">
        <f t="shared" si="0"/>
        <v>5.5833333333333304</v>
      </c>
      <c r="J3" s="4">
        <f t="shared" si="1"/>
        <v>4.4666666666666632</v>
      </c>
      <c r="K3" s="4">
        <f t="shared" si="2"/>
        <v>3.3499999999999965</v>
      </c>
      <c r="L3" s="4">
        <f t="shared" si="3"/>
        <v>2.2333333333333298</v>
      </c>
      <c r="M3" s="4">
        <f t="shared" si="4"/>
        <v>1.1166666666666631</v>
      </c>
      <c r="N3" s="4">
        <f t="shared" si="5"/>
        <v>-3.5527136788005009E-15</v>
      </c>
      <c r="O3" s="4">
        <f t="shared" si="5"/>
        <v>-0.4363636363636399</v>
      </c>
      <c r="P3" s="4">
        <f>O3-AB3</f>
        <v>-0.87272727272727624</v>
      </c>
      <c r="Q3" s="4">
        <f>P3-AB3</f>
        <v>-1.3090909090909126</v>
      </c>
      <c r="R3" s="4">
        <f>Q3-AB3</f>
        <v>-1.7454545454545489</v>
      </c>
      <c r="S3" s="4">
        <f>R3-AB3</f>
        <v>-2.1818181818181852</v>
      </c>
      <c r="T3" s="4">
        <f>S3-AB3</f>
        <v>-2.6181818181818217</v>
      </c>
      <c r="U3" s="4">
        <f>T3-AB3</f>
        <v>-3.0545454545454582</v>
      </c>
      <c r="V3" s="4">
        <f>U3-AB3</f>
        <v>-3.4909090909090947</v>
      </c>
      <c r="W3" s="4">
        <f>V3-AB3</f>
        <v>-3.9272727272727312</v>
      </c>
      <c r="X3" s="4">
        <f>W3-AB3</f>
        <v>-4.3636363636363678</v>
      </c>
      <c r="Y3" s="16">
        <f>X3-AB3</f>
        <v>-4.8000000000000043</v>
      </c>
      <c r="AA3" s="12">
        <f>B3/12</f>
        <v>1.1166666666666667</v>
      </c>
      <c r="AB3" s="12">
        <f>4.8/11</f>
        <v>0.43636363636363634</v>
      </c>
      <c r="AC3" s="24"/>
      <c r="AD3" s="25"/>
    </row>
    <row r="4" spans="1:30" s="10" customFormat="1" ht="14.4" x14ac:dyDescent="0.25">
      <c r="A4" s="2">
        <v>18</v>
      </c>
      <c r="B4" s="9">
        <v>13.7</v>
      </c>
      <c r="C4" s="4">
        <f>B4-AA4</f>
        <v>12.558333333333334</v>
      </c>
      <c r="D4" s="4">
        <f>C4-AA4</f>
        <v>11.416666666666668</v>
      </c>
      <c r="E4" s="4">
        <f>D4-AA4</f>
        <v>10.275000000000002</v>
      </c>
      <c r="F4" s="4">
        <f>E4-AA4</f>
        <v>9.1333333333333364</v>
      </c>
      <c r="G4" s="4">
        <f>F4-AA4</f>
        <v>7.9916666666666698</v>
      </c>
      <c r="H4" s="4">
        <f>G4-AA4</f>
        <v>6.8500000000000032</v>
      </c>
      <c r="I4" s="4">
        <f t="shared" si="0"/>
        <v>5.7083333333333366</v>
      </c>
      <c r="J4" s="4">
        <f t="shared" si="1"/>
        <v>4.56666666666667</v>
      </c>
      <c r="K4" s="4">
        <f t="shared" si="2"/>
        <v>3.4250000000000034</v>
      </c>
      <c r="L4" s="4">
        <f t="shared" si="3"/>
        <v>2.2833333333333368</v>
      </c>
      <c r="M4" s="4">
        <f t="shared" si="4"/>
        <v>1.1416666666666702</v>
      </c>
      <c r="N4" s="4">
        <f t="shared" si="5"/>
        <v>3.5527136788005009E-15</v>
      </c>
      <c r="O4" s="4">
        <f t="shared" si="5"/>
        <v>-0.44545454545454194</v>
      </c>
      <c r="P4" s="4">
        <f>O4-AB4</f>
        <v>-0.89090909090908743</v>
      </c>
      <c r="Q4" s="4">
        <f>P4-AB4</f>
        <v>-1.3363636363636329</v>
      </c>
      <c r="R4" s="4">
        <f>Q4-AB4</f>
        <v>-1.7818181818181784</v>
      </c>
      <c r="S4" s="4">
        <f>R4-AB4</f>
        <v>-2.227272727272724</v>
      </c>
      <c r="T4" s="4">
        <f>S4-AB4</f>
        <v>-2.6727272727272693</v>
      </c>
      <c r="U4" s="4">
        <f>T4-AB4</f>
        <v>-3.1181818181818146</v>
      </c>
      <c r="V4" s="4">
        <f>U4-AB4</f>
        <v>-3.5636363636363599</v>
      </c>
      <c r="W4" s="4">
        <f>V4-AB4</f>
        <v>-4.0090909090909053</v>
      </c>
      <c r="X4" s="4">
        <f>W4-AB4</f>
        <v>-4.4545454545454506</v>
      </c>
      <c r="Y4" s="16">
        <f>X4-AB4</f>
        <v>-4.8999999999999959</v>
      </c>
      <c r="AA4" s="12">
        <f>B4/12</f>
        <v>1.1416666666666666</v>
      </c>
      <c r="AB4" s="12">
        <f>4.9/11</f>
        <v>0.44545454545454549</v>
      </c>
      <c r="AC4" s="24"/>
      <c r="AD4" s="25"/>
    </row>
    <row r="5" spans="1:30" s="10" customFormat="1" ht="14.4" x14ac:dyDescent="0.25">
      <c r="A5" s="2">
        <v>19</v>
      </c>
      <c r="B5" s="9">
        <v>14</v>
      </c>
      <c r="C5" s="4">
        <f>B5-AA5</f>
        <v>12.833333333333334</v>
      </c>
      <c r="D5" s="4">
        <f>C5-AA5</f>
        <v>11.666666666666668</v>
      </c>
      <c r="E5" s="4">
        <f>D5-AA5</f>
        <v>10.500000000000002</v>
      </c>
      <c r="F5" s="4">
        <f>E5-AA5</f>
        <v>9.3333333333333357</v>
      </c>
      <c r="G5" s="4">
        <f>F5-AA5</f>
        <v>8.1666666666666696</v>
      </c>
      <c r="H5" s="4">
        <f>G5-AA5</f>
        <v>7.0000000000000027</v>
      </c>
      <c r="I5" s="4">
        <f t="shared" si="0"/>
        <v>5.8333333333333357</v>
      </c>
      <c r="J5" s="4">
        <f t="shared" si="1"/>
        <v>4.6666666666666687</v>
      </c>
      <c r="K5" s="4">
        <f t="shared" si="2"/>
        <v>3.5000000000000018</v>
      </c>
      <c r="L5" s="4">
        <f t="shared" si="3"/>
        <v>2.3333333333333348</v>
      </c>
      <c r="M5" s="4">
        <f t="shared" si="4"/>
        <v>1.1666666666666681</v>
      </c>
      <c r="N5" s="4">
        <f t="shared" si="5"/>
        <v>0</v>
      </c>
      <c r="O5" s="4">
        <f t="shared" si="5"/>
        <v>-0.45454545454545453</v>
      </c>
      <c r="P5" s="4">
        <f>O5-AB5</f>
        <v>-0.90909090909090906</v>
      </c>
      <c r="Q5" s="4">
        <f>P5-AB5</f>
        <v>-1.3636363636363635</v>
      </c>
      <c r="R5" s="4">
        <f>Q5-AB5</f>
        <v>-1.8181818181818181</v>
      </c>
      <c r="S5" s="4">
        <f>R5-AB5</f>
        <v>-2.2727272727272725</v>
      </c>
      <c r="T5" s="4">
        <f>S5-AB5</f>
        <v>-2.7272727272727271</v>
      </c>
      <c r="U5" s="4">
        <f>T5-AB5</f>
        <v>-3.1818181818181817</v>
      </c>
      <c r="V5" s="4">
        <f>U5-AB5</f>
        <v>-3.6363636363636362</v>
      </c>
      <c r="W5" s="4">
        <f>V5-AB5</f>
        <v>-4.0909090909090908</v>
      </c>
      <c r="X5" s="4">
        <f>W5-AB5</f>
        <v>-4.545454545454545</v>
      </c>
      <c r="Y5" s="16">
        <f>X5-AB5</f>
        <v>-4.9999999999999991</v>
      </c>
      <c r="AA5" s="12">
        <f>B5/12</f>
        <v>1.1666666666666667</v>
      </c>
      <c r="AB5" s="12">
        <f>5/11</f>
        <v>0.45454545454545453</v>
      </c>
      <c r="AC5" s="24"/>
      <c r="AD5" s="25"/>
    </row>
    <row r="6" spans="1:30" ht="13.8" x14ac:dyDescent="0.25">
      <c r="A6" s="5">
        <v>20</v>
      </c>
      <c r="B6" s="6">
        <v>14.3</v>
      </c>
      <c r="C6" s="6">
        <f>B6-AA6</f>
        <v>13.108333333333334</v>
      </c>
      <c r="D6" s="6">
        <f>C6-AA6</f>
        <v>11.916666666666668</v>
      </c>
      <c r="E6" s="6">
        <f>D6-AA6</f>
        <v>10.725000000000001</v>
      </c>
      <c r="F6" s="6">
        <f>E6-AA6</f>
        <v>9.533333333333335</v>
      </c>
      <c r="G6" s="6">
        <f>F6-AA6</f>
        <v>8.3416666666666686</v>
      </c>
      <c r="H6" s="6">
        <f>G6-AA6</f>
        <v>7.1500000000000021</v>
      </c>
      <c r="I6" s="6">
        <f t="shared" si="0"/>
        <v>5.9583333333333357</v>
      </c>
      <c r="J6" s="6">
        <f t="shared" si="1"/>
        <v>4.7666666666666693</v>
      </c>
      <c r="K6" s="6">
        <f t="shared" si="2"/>
        <v>3.5750000000000028</v>
      </c>
      <c r="L6" s="6">
        <f t="shared" si="3"/>
        <v>2.3833333333333364</v>
      </c>
      <c r="M6" s="6">
        <f t="shared" si="4"/>
        <v>1.1916666666666698</v>
      </c>
      <c r="N6" s="6">
        <f t="shared" si="5"/>
        <v>3.1086244689504383E-15</v>
      </c>
      <c r="O6" s="6">
        <f t="shared" si="5"/>
        <v>-0.46363636363636052</v>
      </c>
      <c r="P6" s="6">
        <f>O6-AB6</f>
        <v>-0.92727272727272414</v>
      </c>
      <c r="Q6" s="6">
        <f>P6-AB6</f>
        <v>-1.3909090909090878</v>
      </c>
      <c r="R6" s="6">
        <f>Q6-AB6</f>
        <v>-1.8545454545454514</v>
      </c>
      <c r="S6" s="6">
        <f>R6-AB6</f>
        <v>-2.3181818181818148</v>
      </c>
      <c r="T6" s="6">
        <f>S6-AB6</f>
        <v>-2.7818181818181786</v>
      </c>
      <c r="U6" s="6">
        <f>T6-AB6</f>
        <v>-3.2454545454545425</v>
      </c>
      <c r="V6" s="6">
        <f>U6-AB6</f>
        <v>-3.7090909090909063</v>
      </c>
      <c r="W6" s="6">
        <f>V6-AB6</f>
        <v>-4.1727272727272702</v>
      </c>
      <c r="X6" s="6">
        <f>W6-AB6</f>
        <v>-4.636363636363634</v>
      </c>
      <c r="Y6" s="17">
        <f>X6-AB6</f>
        <v>-5.0999999999999979</v>
      </c>
      <c r="Z6" s="15"/>
      <c r="AA6" s="26">
        <f>B6/12</f>
        <v>1.1916666666666667</v>
      </c>
      <c r="AB6" s="26">
        <f>5.1/11</f>
        <v>0.46363636363636362</v>
      </c>
      <c r="AC6" s="26">
        <v>1.1850000000000001</v>
      </c>
      <c r="AD6" s="26">
        <v>-9.35</v>
      </c>
    </row>
    <row r="7" spans="1:30" ht="13.8" x14ac:dyDescent="0.25">
      <c r="A7" s="1">
        <v>21</v>
      </c>
      <c r="B7" s="4">
        <f>SUM(B6 + 0.255)</f>
        <v>14.555000000000001</v>
      </c>
      <c r="C7" s="4">
        <f t="shared" ref="C7:C66" si="6">B7-AA7</f>
        <v>13.342083333333335</v>
      </c>
      <c r="D7" s="4">
        <f t="shared" ref="D7:D66" si="7">C7-AA7</f>
        <v>12.129166666666668</v>
      </c>
      <c r="E7" s="4">
        <f t="shared" ref="E7:E66" si="8">D7-AA7</f>
        <v>10.916250000000002</v>
      </c>
      <c r="F7" s="4">
        <f t="shared" ref="F7:F66" si="9">E7-AA7</f>
        <v>9.7033333333333349</v>
      </c>
      <c r="G7" s="4">
        <f t="shared" ref="G7:G66" si="10">F7-AA7</f>
        <v>8.4904166666666683</v>
      </c>
      <c r="H7" s="4">
        <f t="shared" ref="H7:H66" si="11">G7-AA7</f>
        <v>7.2775000000000016</v>
      </c>
      <c r="I7" s="16">
        <f t="shared" si="0"/>
        <v>6.064583333333335</v>
      </c>
      <c r="J7" s="16">
        <f t="shared" si="1"/>
        <v>4.8516666666666683</v>
      </c>
      <c r="K7" s="16">
        <f t="shared" si="2"/>
        <v>3.6387500000000017</v>
      </c>
      <c r="L7" s="16">
        <f t="shared" si="3"/>
        <v>2.4258333333333351</v>
      </c>
      <c r="M7" s="16">
        <f t="shared" si="4"/>
        <v>1.2129166666666682</v>
      </c>
      <c r="N7" s="16">
        <f>M7-AA7</f>
        <v>0</v>
      </c>
      <c r="O7" s="4">
        <f t="shared" ref="O7:O66" si="12">N7-AB7</f>
        <v>-0.5</v>
      </c>
      <c r="P7" s="16">
        <f t="shared" ref="P7:P66" si="13">O7-AB7</f>
        <v>-1</v>
      </c>
      <c r="Q7" s="16">
        <f t="shared" ref="Q7:Q66" si="14">P7-AB7</f>
        <v>-1.5</v>
      </c>
      <c r="R7" s="16">
        <f t="shared" ref="R7:R66" si="15">Q7-AB7</f>
        <v>-2</v>
      </c>
      <c r="S7" s="16">
        <f t="shared" ref="S7:S66" si="16">R7-AB7</f>
        <v>-2.5</v>
      </c>
      <c r="T7" s="16">
        <f t="shared" ref="T7:T66" si="17">S7-AB7</f>
        <v>-3</v>
      </c>
      <c r="U7" s="16">
        <f t="shared" ref="U7:U66" si="18">T7-AB7</f>
        <v>-3.5</v>
      </c>
      <c r="V7" s="16">
        <f t="shared" ref="V7:V66" si="19">U7-AB7</f>
        <v>-4</v>
      </c>
      <c r="W7" s="16">
        <f t="shared" ref="W7:W66" si="20">V7-AB7</f>
        <v>-4.5</v>
      </c>
      <c r="X7" s="16">
        <f t="shared" ref="X7:X66" si="21">W7-AB7</f>
        <v>-5</v>
      </c>
      <c r="Y7" s="16">
        <f t="shared" ref="Y7:Y66" si="22">X7-AB7</f>
        <v>-5.5</v>
      </c>
      <c r="AA7" s="12">
        <f t="shared" ref="AA7:AA56" si="23">B7/12</f>
        <v>1.2129166666666669</v>
      </c>
      <c r="AB7" s="12">
        <f>5.5/11</f>
        <v>0.5</v>
      </c>
      <c r="AC7" s="12">
        <v>1.21</v>
      </c>
      <c r="AD7" s="12">
        <v>-9.5269999999999992</v>
      </c>
    </row>
    <row r="8" spans="1:30" ht="13.8" x14ac:dyDescent="0.25">
      <c r="A8" s="1">
        <v>22</v>
      </c>
      <c r="B8" s="4">
        <f t="shared" ref="B8:B56" si="24">SUM(B7 + 0.255)</f>
        <v>14.810000000000002</v>
      </c>
      <c r="C8" s="4">
        <f t="shared" si="6"/>
        <v>13.575833333333335</v>
      </c>
      <c r="D8" s="4">
        <f t="shared" si="7"/>
        <v>12.341666666666669</v>
      </c>
      <c r="E8" s="4">
        <f t="shared" si="8"/>
        <v>11.107500000000002</v>
      </c>
      <c r="F8" s="4">
        <f t="shared" si="9"/>
        <v>9.8733333333333348</v>
      </c>
      <c r="G8" s="4">
        <f t="shared" si="10"/>
        <v>8.639166666666668</v>
      </c>
      <c r="H8" s="4">
        <f t="shared" si="11"/>
        <v>7.4050000000000011</v>
      </c>
      <c r="I8" s="16">
        <f t="shared" si="0"/>
        <v>6.1708333333333343</v>
      </c>
      <c r="J8" s="16">
        <f t="shared" si="1"/>
        <v>4.9366666666666674</v>
      </c>
      <c r="K8" s="16">
        <f t="shared" si="2"/>
        <v>3.7025000000000006</v>
      </c>
      <c r="L8" s="16">
        <f t="shared" si="3"/>
        <v>2.4683333333333337</v>
      </c>
      <c r="M8" s="16">
        <f t="shared" si="4"/>
        <v>1.2341666666666669</v>
      </c>
      <c r="N8" s="16">
        <f>M8-AA8</f>
        <v>0</v>
      </c>
      <c r="O8" s="16">
        <f t="shared" si="12"/>
        <v>-0.54545454545454541</v>
      </c>
      <c r="P8" s="16">
        <f t="shared" si="13"/>
        <v>-1.0909090909090908</v>
      </c>
      <c r="Q8" s="16">
        <f t="shared" si="14"/>
        <v>-1.6363636363636362</v>
      </c>
      <c r="R8" s="16">
        <f t="shared" si="15"/>
        <v>-2.1818181818181817</v>
      </c>
      <c r="S8" s="16">
        <f t="shared" si="16"/>
        <v>-2.7272727272727271</v>
      </c>
      <c r="T8" s="16">
        <f t="shared" si="17"/>
        <v>-3.2727272727272725</v>
      </c>
      <c r="U8" s="16">
        <f t="shared" si="18"/>
        <v>-3.8181818181818179</v>
      </c>
      <c r="V8" s="16">
        <f t="shared" si="19"/>
        <v>-4.3636363636363633</v>
      </c>
      <c r="W8" s="16">
        <f t="shared" si="20"/>
        <v>-4.9090909090909083</v>
      </c>
      <c r="X8" s="16">
        <f t="shared" si="21"/>
        <v>-5.4545454545454533</v>
      </c>
      <c r="Y8" s="16">
        <f t="shared" si="22"/>
        <v>-5.9999999999999982</v>
      </c>
      <c r="AA8" s="12">
        <f t="shared" si="23"/>
        <v>1.2341666666666669</v>
      </c>
      <c r="AB8" s="12">
        <f>6/11</f>
        <v>0.54545454545454541</v>
      </c>
      <c r="AC8" s="12">
        <v>1.3</v>
      </c>
      <c r="AD8" s="12">
        <v>-9.7039999999999988</v>
      </c>
    </row>
    <row r="9" spans="1:30" ht="13.8" x14ac:dyDescent="0.25">
      <c r="A9" s="1">
        <v>23</v>
      </c>
      <c r="B9" s="4">
        <f t="shared" si="24"/>
        <v>15.065000000000003</v>
      </c>
      <c r="C9" s="4">
        <f t="shared" si="6"/>
        <v>13.809583333333336</v>
      </c>
      <c r="D9" s="4">
        <f t="shared" si="7"/>
        <v>12.554166666666669</v>
      </c>
      <c r="E9" s="4">
        <f t="shared" si="8"/>
        <v>11.298750000000002</v>
      </c>
      <c r="F9" s="4">
        <f t="shared" si="9"/>
        <v>10.043333333333335</v>
      </c>
      <c r="G9" s="4">
        <f t="shared" si="10"/>
        <v>8.7879166666666677</v>
      </c>
      <c r="H9" s="4">
        <f t="shared" si="11"/>
        <v>7.5325000000000006</v>
      </c>
      <c r="I9" s="16">
        <f t="shared" ref="I9:I66" si="25">H9-AA9</f>
        <v>6.2770833333333336</v>
      </c>
      <c r="J9" s="16">
        <f t="shared" ref="J9:J66" si="26">I9-AA9</f>
        <v>5.0216666666666665</v>
      </c>
      <c r="K9" s="16">
        <f t="shared" ref="K9:K66" si="27">J9-AA9</f>
        <v>3.7662499999999994</v>
      </c>
      <c r="L9" s="16">
        <f t="shared" ref="L9:L66" si="28">K9-AA9</f>
        <v>2.5108333333333324</v>
      </c>
      <c r="M9" s="16">
        <f t="shared" ref="M9:M66" si="29">L9-AA9</f>
        <v>1.2554166666666655</v>
      </c>
      <c r="N9" s="16">
        <f t="shared" ref="N9:N66" si="30">M9-AA9</f>
        <v>0</v>
      </c>
      <c r="O9" s="16">
        <f t="shared" si="12"/>
        <v>-0.59090909090909094</v>
      </c>
      <c r="P9" s="16">
        <f t="shared" si="13"/>
        <v>-1.1818181818181819</v>
      </c>
      <c r="Q9" s="16">
        <f t="shared" si="14"/>
        <v>-1.7727272727272729</v>
      </c>
      <c r="R9" s="16">
        <f t="shared" si="15"/>
        <v>-2.3636363636363638</v>
      </c>
      <c r="S9" s="16">
        <f t="shared" si="16"/>
        <v>-2.9545454545454546</v>
      </c>
      <c r="T9" s="16">
        <f t="shared" si="17"/>
        <v>-3.5454545454545454</v>
      </c>
      <c r="U9" s="16">
        <f t="shared" si="18"/>
        <v>-4.1363636363636367</v>
      </c>
      <c r="V9" s="16">
        <f t="shared" si="19"/>
        <v>-4.7272727272727275</v>
      </c>
      <c r="W9" s="16">
        <f t="shared" si="20"/>
        <v>-5.3181818181818183</v>
      </c>
      <c r="X9" s="16">
        <f t="shared" si="21"/>
        <v>-5.9090909090909092</v>
      </c>
      <c r="Y9" s="16">
        <f t="shared" si="22"/>
        <v>-6.5</v>
      </c>
      <c r="AA9" s="12">
        <f t="shared" si="23"/>
        <v>1.2554166666666668</v>
      </c>
      <c r="AB9" s="12">
        <f>6.5/11</f>
        <v>0.59090909090909094</v>
      </c>
      <c r="AC9" s="12">
        <v>1.3</v>
      </c>
      <c r="AD9" s="12">
        <v>-9.8809999999999985</v>
      </c>
    </row>
    <row r="10" spans="1:30" ht="13.8" x14ac:dyDescent="0.25">
      <c r="A10" s="1">
        <v>24</v>
      </c>
      <c r="B10" s="4">
        <f t="shared" si="24"/>
        <v>15.320000000000004</v>
      </c>
      <c r="C10" s="4">
        <f t="shared" si="6"/>
        <v>14.043333333333337</v>
      </c>
      <c r="D10" s="4">
        <f t="shared" si="7"/>
        <v>12.766666666666669</v>
      </c>
      <c r="E10" s="4">
        <f t="shared" si="8"/>
        <v>11.490000000000002</v>
      </c>
      <c r="F10" s="4">
        <f t="shared" si="9"/>
        <v>10.213333333333335</v>
      </c>
      <c r="G10" s="4">
        <f t="shared" si="10"/>
        <v>8.9366666666666674</v>
      </c>
      <c r="H10" s="4">
        <f t="shared" si="11"/>
        <v>7.66</v>
      </c>
      <c r="I10" s="16">
        <f t="shared" si="25"/>
        <v>6.3833333333333329</v>
      </c>
      <c r="J10" s="16">
        <f t="shared" si="26"/>
        <v>5.1066666666666656</v>
      </c>
      <c r="K10" s="16">
        <f t="shared" si="27"/>
        <v>3.8299999999999983</v>
      </c>
      <c r="L10" s="16">
        <f t="shared" si="28"/>
        <v>2.553333333333331</v>
      </c>
      <c r="M10" s="16">
        <f t="shared" si="29"/>
        <v>1.276666666666664</v>
      </c>
      <c r="N10" s="16">
        <f t="shared" si="30"/>
        <v>-3.1086244689504383E-15</v>
      </c>
      <c r="O10" s="16">
        <f t="shared" si="12"/>
        <v>-0.63636363636363946</v>
      </c>
      <c r="P10" s="16">
        <f t="shared" si="13"/>
        <v>-1.2727272727272758</v>
      </c>
      <c r="Q10" s="16">
        <f t="shared" si="14"/>
        <v>-1.9090909090909123</v>
      </c>
      <c r="R10" s="16">
        <f t="shared" si="15"/>
        <v>-2.5454545454545485</v>
      </c>
      <c r="S10" s="16">
        <f t="shared" si="16"/>
        <v>-3.1818181818181848</v>
      </c>
      <c r="T10" s="16">
        <f t="shared" si="17"/>
        <v>-3.818181818181821</v>
      </c>
      <c r="U10" s="16">
        <f t="shared" si="18"/>
        <v>-4.4545454545454577</v>
      </c>
      <c r="V10" s="16">
        <f t="shared" si="19"/>
        <v>-5.0909090909090944</v>
      </c>
      <c r="W10" s="16">
        <f t="shared" si="20"/>
        <v>-5.7272727272727311</v>
      </c>
      <c r="X10" s="16">
        <f t="shared" si="21"/>
        <v>-6.3636363636363678</v>
      </c>
      <c r="Y10" s="16">
        <f t="shared" si="22"/>
        <v>-7.0000000000000044</v>
      </c>
      <c r="AA10" s="12">
        <f t="shared" si="23"/>
        <v>1.2766666666666671</v>
      </c>
      <c r="AB10" s="12">
        <f>7/11</f>
        <v>0.63636363636363635</v>
      </c>
      <c r="AC10" s="12">
        <v>1.32</v>
      </c>
      <c r="AD10" s="12">
        <v>-10.057999999999998</v>
      </c>
    </row>
    <row r="11" spans="1:30" ht="13.8" x14ac:dyDescent="0.25">
      <c r="A11" s="1">
        <v>25</v>
      </c>
      <c r="B11" s="4">
        <f t="shared" si="24"/>
        <v>15.575000000000005</v>
      </c>
      <c r="C11" s="4">
        <f t="shared" si="6"/>
        <v>14.277083333333337</v>
      </c>
      <c r="D11" s="4">
        <f t="shared" si="7"/>
        <v>12.97916666666667</v>
      </c>
      <c r="E11" s="4">
        <f t="shared" si="8"/>
        <v>11.681250000000002</v>
      </c>
      <c r="F11" s="4">
        <f t="shared" si="9"/>
        <v>10.383333333333335</v>
      </c>
      <c r="G11" s="4">
        <f t="shared" si="10"/>
        <v>9.0854166666666671</v>
      </c>
      <c r="H11" s="4">
        <f t="shared" si="11"/>
        <v>7.7874999999999996</v>
      </c>
      <c r="I11" s="16">
        <f t="shared" si="25"/>
        <v>6.4895833333333321</v>
      </c>
      <c r="J11" s="16">
        <f t="shared" si="26"/>
        <v>5.1916666666666647</v>
      </c>
      <c r="K11" s="16">
        <f t="shared" si="27"/>
        <v>3.8937499999999976</v>
      </c>
      <c r="L11" s="16">
        <f t="shared" si="28"/>
        <v>2.5958333333333306</v>
      </c>
      <c r="M11" s="16">
        <f t="shared" si="29"/>
        <v>1.2979166666666635</v>
      </c>
      <c r="N11" s="16">
        <f t="shared" si="30"/>
        <v>-3.5527136788005009E-15</v>
      </c>
      <c r="O11" s="16">
        <f t="shared" si="12"/>
        <v>-0.68181818181818532</v>
      </c>
      <c r="P11" s="16">
        <f t="shared" si="13"/>
        <v>-1.3636363636363671</v>
      </c>
      <c r="Q11" s="16">
        <f t="shared" si="14"/>
        <v>-2.045454545454549</v>
      </c>
      <c r="R11" s="16">
        <f t="shared" si="15"/>
        <v>-2.7272727272727306</v>
      </c>
      <c r="S11" s="16">
        <f t="shared" si="16"/>
        <v>-3.4090909090909123</v>
      </c>
      <c r="T11" s="16">
        <f t="shared" si="17"/>
        <v>-4.0909090909090944</v>
      </c>
      <c r="U11" s="16">
        <f t="shared" si="18"/>
        <v>-4.772727272727276</v>
      </c>
      <c r="V11" s="16">
        <f t="shared" si="19"/>
        <v>-5.4545454545454577</v>
      </c>
      <c r="W11" s="16">
        <f t="shared" si="20"/>
        <v>-6.1363636363636394</v>
      </c>
      <c r="X11" s="16">
        <f t="shared" si="21"/>
        <v>-6.818181818181821</v>
      </c>
      <c r="Y11" s="16">
        <f t="shared" si="22"/>
        <v>-7.5000000000000027</v>
      </c>
      <c r="AA11" s="12">
        <f t="shared" si="23"/>
        <v>1.2979166666666671</v>
      </c>
      <c r="AB11" s="12">
        <f>7.5/11</f>
        <v>0.68181818181818177</v>
      </c>
      <c r="AC11" s="12">
        <v>1.32</v>
      </c>
      <c r="AD11" s="12">
        <v>-10.234999999999998</v>
      </c>
    </row>
    <row r="12" spans="1:30" ht="13.8" x14ac:dyDescent="0.25">
      <c r="A12" s="1">
        <v>26</v>
      </c>
      <c r="B12" s="4">
        <f t="shared" si="24"/>
        <v>15.830000000000005</v>
      </c>
      <c r="C12" s="4">
        <f t="shared" si="6"/>
        <v>14.510833333333338</v>
      </c>
      <c r="D12" s="4">
        <f t="shared" si="7"/>
        <v>13.19166666666667</v>
      </c>
      <c r="E12" s="4">
        <f t="shared" si="8"/>
        <v>11.872500000000002</v>
      </c>
      <c r="F12" s="4">
        <f t="shared" si="9"/>
        <v>10.553333333333335</v>
      </c>
      <c r="G12" s="4">
        <f t="shared" si="10"/>
        <v>9.2341666666666669</v>
      </c>
      <c r="H12" s="4">
        <f t="shared" si="11"/>
        <v>7.915</v>
      </c>
      <c r="I12" s="16">
        <f t="shared" si="25"/>
        <v>6.5958333333333332</v>
      </c>
      <c r="J12" s="16">
        <f t="shared" si="26"/>
        <v>5.2766666666666664</v>
      </c>
      <c r="K12" s="16">
        <f t="shared" si="27"/>
        <v>3.9574999999999996</v>
      </c>
      <c r="L12" s="16">
        <f t="shared" si="28"/>
        <v>2.6383333333333328</v>
      </c>
      <c r="M12" s="16">
        <f t="shared" si="29"/>
        <v>1.3191666666666657</v>
      </c>
      <c r="N12" s="16">
        <f t="shared" si="30"/>
        <v>0</v>
      </c>
      <c r="O12" s="16">
        <f t="shared" si="12"/>
        <v>-0.72727272727272729</v>
      </c>
      <c r="P12" s="16">
        <f t="shared" si="13"/>
        <v>-1.4545454545454546</v>
      </c>
      <c r="Q12" s="16">
        <f t="shared" si="14"/>
        <v>-2.1818181818181817</v>
      </c>
      <c r="R12" s="16">
        <f t="shared" si="15"/>
        <v>-2.9090909090909092</v>
      </c>
      <c r="S12" s="16">
        <f t="shared" si="16"/>
        <v>-3.6363636363636367</v>
      </c>
      <c r="T12" s="16">
        <f t="shared" si="17"/>
        <v>-4.3636363636363642</v>
      </c>
      <c r="U12" s="16">
        <f t="shared" si="18"/>
        <v>-5.0909090909090917</v>
      </c>
      <c r="V12" s="16">
        <f t="shared" si="19"/>
        <v>-5.8181818181818192</v>
      </c>
      <c r="W12" s="16">
        <f t="shared" si="20"/>
        <v>-6.5454545454545467</v>
      </c>
      <c r="X12" s="16">
        <f t="shared" si="21"/>
        <v>-7.2727272727272743</v>
      </c>
      <c r="Y12" s="16">
        <f t="shared" si="22"/>
        <v>-8.0000000000000018</v>
      </c>
      <c r="AA12" s="12">
        <f t="shared" si="23"/>
        <v>1.319166666666667</v>
      </c>
      <c r="AB12" s="12">
        <f>8/11</f>
        <v>0.72727272727272729</v>
      </c>
      <c r="AC12" s="12">
        <v>1.33</v>
      </c>
      <c r="AD12" s="12">
        <v>-10.411999999999997</v>
      </c>
    </row>
    <row r="13" spans="1:30" ht="13.8" x14ac:dyDescent="0.25">
      <c r="A13" s="1">
        <v>27</v>
      </c>
      <c r="B13" s="4">
        <f t="shared" si="24"/>
        <v>16.085000000000004</v>
      </c>
      <c r="C13" s="4">
        <f t="shared" si="6"/>
        <v>14.744583333333338</v>
      </c>
      <c r="D13" s="4">
        <f t="shared" si="7"/>
        <v>13.404166666666672</v>
      </c>
      <c r="E13" s="4">
        <f t="shared" si="8"/>
        <v>12.063750000000006</v>
      </c>
      <c r="F13" s="4">
        <f t="shared" si="9"/>
        <v>10.72333333333334</v>
      </c>
      <c r="G13" s="4">
        <f t="shared" si="10"/>
        <v>9.3829166666666737</v>
      </c>
      <c r="H13" s="4">
        <f t="shared" si="11"/>
        <v>8.0425000000000075</v>
      </c>
      <c r="I13" s="16">
        <f t="shared" si="25"/>
        <v>6.7020833333333405</v>
      </c>
      <c r="J13" s="16">
        <f t="shared" si="26"/>
        <v>5.3616666666666735</v>
      </c>
      <c r="K13" s="16">
        <f t="shared" si="27"/>
        <v>4.0212500000000064</v>
      </c>
      <c r="L13" s="16">
        <f t="shared" si="28"/>
        <v>2.6808333333333394</v>
      </c>
      <c r="M13" s="16">
        <f t="shared" si="29"/>
        <v>1.3404166666666724</v>
      </c>
      <c r="N13" s="16">
        <f t="shared" si="30"/>
        <v>5.3290705182007514E-15</v>
      </c>
      <c r="O13" s="16">
        <f t="shared" si="12"/>
        <v>-0.77272727272726738</v>
      </c>
      <c r="P13" s="16">
        <f t="shared" si="13"/>
        <v>-1.5454545454545401</v>
      </c>
      <c r="Q13" s="16">
        <f t="shared" si="14"/>
        <v>-2.318181818181813</v>
      </c>
      <c r="R13" s="16">
        <f t="shared" si="15"/>
        <v>-3.0909090909090855</v>
      </c>
      <c r="S13" s="16">
        <f t="shared" si="16"/>
        <v>-3.863636363636358</v>
      </c>
      <c r="T13" s="16">
        <f t="shared" si="17"/>
        <v>-4.6363636363636305</v>
      </c>
      <c r="U13" s="16">
        <f t="shared" si="18"/>
        <v>-5.409090909090903</v>
      </c>
      <c r="V13" s="16">
        <f t="shared" si="19"/>
        <v>-6.1818181818181754</v>
      </c>
      <c r="W13" s="16">
        <f t="shared" si="20"/>
        <v>-6.9545454545454479</v>
      </c>
      <c r="X13" s="16">
        <f t="shared" si="21"/>
        <v>-7.7272727272727204</v>
      </c>
      <c r="Y13" s="16">
        <f t="shared" si="22"/>
        <v>-8.4999999999999929</v>
      </c>
      <c r="AA13" s="12">
        <f t="shared" si="23"/>
        <v>1.340416666666667</v>
      </c>
      <c r="AB13" s="12">
        <f>8.5/11</f>
        <v>0.77272727272727271</v>
      </c>
      <c r="AC13" s="12">
        <v>1.34</v>
      </c>
      <c r="AD13" s="12">
        <v>-10.588999999999997</v>
      </c>
    </row>
    <row r="14" spans="1:30" ht="13.8" x14ac:dyDescent="0.25">
      <c r="A14" s="1">
        <v>28</v>
      </c>
      <c r="B14" s="4">
        <f t="shared" si="24"/>
        <v>16.340000000000003</v>
      </c>
      <c r="C14" s="4">
        <f t="shared" si="6"/>
        <v>14.978333333333337</v>
      </c>
      <c r="D14" s="4">
        <f t="shared" si="7"/>
        <v>13.616666666666671</v>
      </c>
      <c r="E14" s="4">
        <f t="shared" si="8"/>
        <v>12.255000000000004</v>
      </c>
      <c r="F14" s="4">
        <f t="shared" si="9"/>
        <v>10.893333333333338</v>
      </c>
      <c r="G14" s="4">
        <f t="shared" si="10"/>
        <v>9.5316666666666716</v>
      </c>
      <c r="H14" s="4">
        <f t="shared" si="11"/>
        <v>8.1700000000000053</v>
      </c>
      <c r="I14" s="16">
        <f t="shared" si="25"/>
        <v>6.808333333333338</v>
      </c>
      <c r="J14" s="16">
        <f t="shared" si="26"/>
        <v>5.4466666666666708</v>
      </c>
      <c r="K14" s="16">
        <f t="shared" si="27"/>
        <v>4.0850000000000035</v>
      </c>
      <c r="L14" s="16">
        <f t="shared" si="28"/>
        <v>2.7233333333333363</v>
      </c>
      <c r="M14" s="16">
        <f t="shared" si="29"/>
        <v>1.3616666666666692</v>
      </c>
      <c r="N14" s="16">
        <f t="shared" si="30"/>
        <v>2.2204460492503131E-15</v>
      </c>
      <c r="O14" s="16">
        <f t="shared" si="12"/>
        <v>-0.81818181818181601</v>
      </c>
      <c r="P14" s="16">
        <f t="shared" si="13"/>
        <v>-1.6363636363636342</v>
      </c>
      <c r="Q14" s="16">
        <f t="shared" si="14"/>
        <v>-2.4545454545454524</v>
      </c>
      <c r="R14" s="16">
        <f t="shared" si="15"/>
        <v>-3.2727272727272707</v>
      </c>
      <c r="S14" s="16">
        <f t="shared" si="16"/>
        <v>-4.0909090909090891</v>
      </c>
      <c r="T14" s="16">
        <f t="shared" si="17"/>
        <v>-4.9090909090909074</v>
      </c>
      <c r="U14" s="16">
        <f t="shared" si="18"/>
        <v>-5.7272727272727257</v>
      </c>
      <c r="V14" s="16">
        <f t="shared" si="19"/>
        <v>-6.5454545454545441</v>
      </c>
      <c r="W14" s="16">
        <f t="shared" si="20"/>
        <v>-7.3636363636363624</v>
      </c>
      <c r="X14" s="16">
        <f t="shared" si="21"/>
        <v>-8.1818181818181799</v>
      </c>
      <c r="Y14" s="16">
        <f t="shared" si="22"/>
        <v>-8.9999999999999982</v>
      </c>
      <c r="AA14" s="12">
        <f t="shared" si="23"/>
        <v>1.361666666666667</v>
      </c>
      <c r="AB14" s="12">
        <f>9/11</f>
        <v>0.81818181818181823</v>
      </c>
      <c r="AC14" s="12">
        <v>1.355</v>
      </c>
      <c r="AD14" s="12">
        <v>-10.765999999999996</v>
      </c>
    </row>
    <row r="15" spans="1:30" ht="13.8" x14ac:dyDescent="0.25">
      <c r="A15" s="1">
        <v>29</v>
      </c>
      <c r="B15" s="4">
        <f t="shared" si="24"/>
        <v>16.595000000000002</v>
      </c>
      <c r="C15" s="4">
        <f t="shared" si="6"/>
        <v>15.212083333333336</v>
      </c>
      <c r="D15" s="4">
        <f t="shared" si="7"/>
        <v>13.829166666666669</v>
      </c>
      <c r="E15" s="4">
        <f t="shared" si="8"/>
        <v>12.446250000000003</v>
      </c>
      <c r="F15" s="4">
        <f t="shared" si="9"/>
        <v>11.063333333333336</v>
      </c>
      <c r="G15" s="4">
        <f t="shared" si="10"/>
        <v>9.6804166666666696</v>
      </c>
      <c r="H15" s="4">
        <f t="shared" si="11"/>
        <v>8.297500000000003</v>
      </c>
      <c r="I15" s="16">
        <f t="shared" si="25"/>
        <v>6.9145833333333364</v>
      </c>
      <c r="J15" s="16">
        <f t="shared" si="26"/>
        <v>5.5316666666666698</v>
      </c>
      <c r="K15" s="16">
        <f t="shared" si="27"/>
        <v>4.1487500000000033</v>
      </c>
      <c r="L15" s="16">
        <f t="shared" si="28"/>
        <v>2.7658333333333367</v>
      </c>
      <c r="M15" s="16">
        <f t="shared" si="29"/>
        <v>1.3829166666666699</v>
      </c>
      <c r="N15" s="16">
        <f t="shared" si="30"/>
        <v>3.1086244689504383E-15</v>
      </c>
      <c r="O15" s="16">
        <f t="shared" si="12"/>
        <v>-0.86363636363636054</v>
      </c>
      <c r="P15" s="16">
        <f t="shared" si="13"/>
        <v>-1.7272727272727242</v>
      </c>
      <c r="Q15" s="16">
        <f t="shared" si="14"/>
        <v>-2.5909090909090877</v>
      </c>
      <c r="R15" s="16">
        <f t="shared" si="15"/>
        <v>-3.4545454545454515</v>
      </c>
      <c r="S15" s="16">
        <f t="shared" si="16"/>
        <v>-4.3181818181818148</v>
      </c>
      <c r="T15" s="16">
        <f t="shared" si="17"/>
        <v>-5.1818181818181781</v>
      </c>
      <c r="U15" s="16">
        <f t="shared" si="18"/>
        <v>-6.0454545454545414</v>
      </c>
      <c r="V15" s="16">
        <f t="shared" si="19"/>
        <v>-6.9090909090909047</v>
      </c>
      <c r="W15" s="16">
        <f t="shared" si="20"/>
        <v>-7.772727272727268</v>
      </c>
      <c r="X15" s="16">
        <f t="shared" si="21"/>
        <v>-8.6363636363636314</v>
      </c>
      <c r="Y15" s="16">
        <f t="shared" si="22"/>
        <v>-9.4999999999999947</v>
      </c>
      <c r="AA15" s="12">
        <f t="shared" si="23"/>
        <v>1.3829166666666668</v>
      </c>
      <c r="AB15" s="12">
        <f>9.5/11</f>
        <v>0.86363636363636365</v>
      </c>
      <c r="AC15" s="12">
        <v>1.377</v>
      </c>
      <c r="AD15" s="12">
        <v>-10.942999999999996</v>
      </c>
    </row>
    <row r="16" spans="1:30" ht="13.8" x14ac:dyDescent="0.25">
      <c r="A16" s="7">
        <v>30</v>
      </c>
      <c r="B16" s="6">
        <f t="shared" si="24"/>
        <v>16.850000000000001</v>
      </c>
      <c r="C16" s="6">
        <f t="shared" si="6"/>
        <v>15.445833333333335</v>
      </c>
      <c r="D16" s="6">
        <f t="shared" si="7"/>
        <v>14.041666666666668</v>
      </c>
      <c r="E16" s="6">
        <f t="shared" si="8"/>
        <v>12.637500000000001</v>
      </c>
      <c r="F16" s="6">
        <f t="shared" si="9"/>
        <v>11.233333333333334</v>
      </c>
      <c r="G16" s="6">
        <f t="shared" si="10"/>
        <v>9.8291666666666675</v>
      </c>
      <c r="H16" s="6">
        <f t="shared" si="11"/>
        <v>8.4250000000000007</v>
      </c>
      <c r="I16" s="17">
        <f t="shared" si="25"/>
        <v>7.0208333333333339</v>
      </c>
      <c r="J16" s="17">
        <f t="shared" si="26"/>
        <v>5.6166666666666671</v>
      </c>
      <c r="K16" s="17">
        <f t="shared" si="27"/>
        <v>4.2125000000000004</v>
      </c>
      <c r="L16" s="17">
        <f t="shared" si="28"/>
        <v>2.8083333333333336</v>
      </c>
      <c r="M16" s="17">
        <f t="shared" si="29"/>
        <v>1.4041666666666668</v>
      </c>
      <c r="N16" s="17">
        <f t="shared" si="30"/>
        <v>0</v>
      </c>
      <c r="O16" s="17">
        <f t="shared" si="12"/>
        <v>-1.009090909090909</v>
      </c>
      <c r="P16" s="17">
        <f t="shared" si="13"/>
        <v>-2.0181818181818181</v>
      </c>
      <c r="Q16" s="17">
        <f t="shared" si="14"/>
        <v>-3.0272727272727273</v>
      </c>
      <c r="R16" s="17">
        <f t="shared" si="15"/>
        <v>-4.0363636363636362</v>
      </c>
      <c r="S16" s="17">
        <f t="shared" si="16"/>
        <v>-5.045454545454545</v>
      </c>
      <c r="T16" s="17">
        <f t="shared" si="17"/>
        <v>-6.0545454545454538</v>
      </c>
      <c r="U16" s="17">
        <f t="shared" si="18"/>
        <v>-7.0636363636363626</v>
      </c>
      <c r="V16" s="17">
        <f t="shared" si="19"/>
        <v>-8.0727272727272723</v>
      </c>
      <c r="W16" s="17">
        <f t="shared" si="20"/>
        <v>-9.081818181818182</v>
      </c>
      <c r="X16" s="17">
        <f t="shared" si="21"/>
        <v>-10.090909090909092</v>
      </c>
      <c r="Y16" s="17">
        <f t="shared" si="22"/>
        <v>-11.100000000000001</v>
      </c>
      <c r="Z16" s="15"/>
      <c r="AA16" s="26">
        <f t="shared" si="23"/>
        <v>1.4041666666666668</v>
      </c>
      <c r="AB16" s="26">
        <f>11.1/11</f>
        <v>1.009090909090909</v>
      </c>
      <c r="AC16" s="26">
        <v>1.399</v>
      </c>
      <c r="AD16" s="26">
        <v>-11.119999999999996</v>
      </c>
    </row>
    <row r="17" spans="1:30" ht="13.8" x14ac:dyDescent="0.25">
      <c r="A17" s="1">
        <v>31</v>
      </c>
      <c r="B17" s="4">
        <f t="shared" si="24"/>
        <v>17.105</v>
      </c>
      <c r="C17" s="4">
        <f t="shared" si="6"/>
        <v>15.679583333333333</v>
      </c>
      <c r="D17" s="4">
        <f t="shared" si="7"/>
        <v>14.254166666666666</v>
      </c>
      <c r="E17" s="4">
        <f t="shared" si="8"/>
        <v>12.828749999999999</v>
      </c>
      <c r="F17" s="4">
        <f t="shared" si="9"/>
        <v>11.403333333333332</v>
      </c>
      <c r="G17" s="4">
        <f t="shared" si="10"/>
        <v>9.9779166666666654</v>
      </c>
      <c r="H17" s="4">
        <f t="shared" si="11"/>
        <v>8.5524999999999984</v>
      </c>
      <c r="I17" s="16">
        <f t="shared" si="25"/>
        <v>7.1270833333333314</v>
      </c>
      <c r="J17" s="16">
        <f t="shared" si="26"/>
        <v>5.7016666666666644</v>
      </c>
      <c r="K17" s="16">
        <f t="shared" si="27"/>
        <v>4.2762499999999974</v>
      </c>
      <c r="L17" s="16">
        <f t="shared" si="28"/>
        <v>2.8508333333333304</v>
      </c>
      <c r="M17" s="16">
        <f t="shared" si="29"/>
        <v>1.4254166666666637</v>
      </c>
      <c r="N17" s="16">
        <f t="shared" si="30"/>
        <v>-3.1086244689504383E-15</v>
      </c>
      <c r="O17" s="16">
        <f t="shared" si="12"/>
        <v>-1.0272727272727304</v>
      </c>
      <c r="P17" s="16">
        <f t="shared" si="13"/>
        <v>-2.0545454545454578</v>
      </c>
      <c r="Q17" s="16">
        <f t="shared" si="14"/>
        <v>-3.0818181818181851</v>
      </c>
      <c r="R17" s="16">
        <f t="shared" si="15"/>
        <v>-4.1090909090909129</v>
      </c>
      <c r="S17" s="16">
        <f t="shared" si="16"/>
        <v>-5.1363636363636402</v>
      </c>
      <c r="T17" s="16">
        <f t="shared" si="17"/>
        <v>-6.1636363636363676</v>
      </c>
      <c r="U17" s="16">
        <f t="shared" si="18"/>
        <v>-7.1909090909090949</v>
      </c>
      <c r="V17" s="16">
        <f t="shared" si="19"/>
        <v>-8.2181818181818223</v>
      </c>
      <c r="W17" s="16">
        <f t="shared" si="20"/>
        <v>-9.2454545454545496</v>
      </c>
      <c r="X17" s="16">
        <f t="shared" si="21"/>
        <v>-10.272727272727277</v>
      </c>
      <c r="Y17" s="16">
        <f t="shared" si="22"/>
        <v>-11.300000000000004</v>
      </c>
      <c r="AA17" s="12">
        <f t="shared" si="23"/>
        <v>1.4254166666666668</v>
      </c>
      <c r="AB17" s="12">
        <f>11.3/11</f>
        <v>1.0272727272727273</v>
      </c>
      <c r="AC17" s="12">
        <v>1.42</v>
      </c>
      <c r="AD17" s="12">
        <v>-11.296999999999995</v>
      </c>
    </row>
    <row r="18" spans="1:30" ht="13.8" x14ac:dyDescent="0.25">
      <c r="A18" s="1">
        <v>32</v>
      </c>
      <c r="B18" s="4">
        <f t="shared" si="24"/>
        <v>17.36</v>
      </c>
      <c r="C18" s="4">
        <f t="shared" si="6"/>
        <v>15.913333333333332</v>
      </c>
      <c r="D18" s="4">
        <f t="shared" si="7"/>
        <v>14.466666666666665</v>
      </c>
      <c r="E18" s="4">
        <f t="shared" si="8"/>
        <v>13.019999999999998</v>
      </c>
      <c r="F18" s="4">
        <f t="shared" si="9"/>
        <v>11.573333333333331</v>
      </c>
      <c r="G18" s="4">
        <f t="shared" si="10"/>
        <v>10.126666666666663</v>
      </c>
      <c r="H18" s="4">
        <f t="shared" si="11"/>
        <v>8.6799999999999962</v>
      </c>
      <c r="I18" s="16">
        <f t="shared" si="25"/>
        <v>7.2333333333333298</v>
      </c>
      <c r="J18" s="16">
        <f t="shared" si="26"/>
        <v>5.7866666666666635</v>
      </c>
      <c r="K18" s="16">
        <f t="shared" si="27"/>
        <v>4.3399999999999972</v>
      </c>
      <c r="L18" s="16">
        <f t="shared" si="28"/>
        <v>2.8933333333333309</v>
      </c>
      <c r="M18" s="16">
        <f t="shared" si="29"/>
        <v>1.4466666666666643</v>
      </c>
      <c r="N18" s="16">
        <f t="shared" si="30"/>
        <v>-2.2204460492503131E-15</v>
      </c>
      <c r="O18" s="16">
        <f t="shared" si="12"/>
        <v>-1.0454545454545476</v>
      </c>
      <c r="P18" s="16">
        <f t="shared" si="13"/>
        <v>-2.090909090909093</v>
      </c>
      <c r="Q18" s="16">
        <f t="shared" si="14"/>
        <v>-3.1363636363636385</v>
      </c>
      <c r="R18" s="16">
        <f t="shared" si="15"/>
        <v>-4.1818181818181834</v>
      </c>
      <c r="S18" s="16">
        <f t="shared" si="16"/>
        <v>-5.2272727272727284</v>
      </c>
      <c r="T18" s="16">
        <f t="shared" si="17"/>
        <v>-6.2727272727272734</v>
      </c>
      <c r="U18" s="16">
        <f t="shared" si="18"/>
        <v>-7.3181818181818183</v>
      </c>
      <c r="V18" s="16">
        <f t="shared" si="19"/>
        <v>-8.3636363636363633</v>
      </c>
      <c r="W18" s="16">
        <f t="shared" si="20"/>
        <v>-9.4090909090909083</v>
      </c>
      <c r="X18" s="16">
        <f t="shared" si="21"/>
        <v>-10.454545454545453</v>
      </c>
      <c r="Y18" s="16">
        <f t="shared" si="22"/>
        <v>-11.499999999999998</v>
      </c>
      <c r="AA18" s="12">
        <f t="shared" si="23"/>
        <v>1.4466666666666665</v>
      </c>
      <c r="AB18" s="12">
        <f>11.5/11</f>
        <v>1.0454545454545454</v>
      </c>
      <c r="AC18" s="12">
        <v>1.4419999999999999</v>
      </c>
      <c r="AD18" s="12">
        <v>-11.473999999999995</v>
      </c>
    </row>
    <row r="19" spans="1:30" ht="13.8" x14ac:dyDescent="0.25">
      <c r="A19" s="1">
        <v>33</v>
      </c>
      <c r="B19" s="4">
        <f t="shared" si="24"/>
        <v>17.614999999999998</v>
      </c>
      <c r="C19" s="4">
        <f t="shared" si="6"/>
        <v>16.147083333333331</v>
      </c>
      <c r="D19" s="4">
        <f t="shared" si="7"/>
        <v>14.679166666666664</v>
      </c>
      <c r="E19" s="4">
        <f t="shared" si="8"/>
        <v>13.211249999999996</v>
      </c>
      <c r="F19" s="4">
        <f t="shared" si="9"/>
        <v>11.743333333333329</v>
      </c>
      <c r="G19" s="4">
        <f t="shared" si="10"/>
        <v>10.275416666666661</v>
      </c>
      <c r="H19" s="4">
        <f t="shared" si="11"/>
        <v>8.8074999999999939</v>
      </c>
      <c r="I19" s="16">
        <f t="shared" si="25"/>
        <v>7.3395833333333274</v>
      </c>
      <c r="J19" s="16">
        <f t="shared" si="26"/>
        <v>5.8716666666666608</v>
      </c>
      <c r="K19" s="16">
        <f t="shared" si="27"/>
        <v>4.4037499999999943</v>
      </c>
      <c r="L19" s="16">
        <f t="shared" si="28"/>
        <v>2.9358333333333277</v>
      </c>
      <c r="M19" s="16">
        <f t="shared" si="29"/>
        <v>1.4679166666666612</v>
      </c>
      <c r="N19" s="16">
        <f t="shared" si="30"/>
        <v>-5.3290705182007514E-15</v>
      </c>
      <c r="O19" s="16">
        <f t="shared" si="12"/>
        <v>-1.0727272727272781</v>
      </c>
      <c r="P19" s="16">
        <f t="shared" si="13"/>
        <v>-2.1454545454545508</v>
      </c>
      <c r="Q19" s="16">
        <f t="shared" si="14"/>
        <v>-3.2181818181818236</v>
      </c>
      <c r="R19" s="16">
        <f t="shared" si="15"/>
        <v>-4.2909090909090963</v>
      </c>
      <c r="S19" s="16">
        <f t="shared" si="16"/>
        <v>-5.3636363636363686</v>
      </c>
      <c r="T19" s="16">
        <f t="shared" si="17"/>
        <v>-6.4363636363636409</v>
      </c>
      <c r="U19" s="16">
        <f t="shared" si="18"/>
        <v>-7.5090909090909133</v>
      </c>
      <c r="V19" s="16">
        <f t="shared" si="19"/>
        <v>-8.5818181818181856</v>
      </c>
      <c r="W19" s="16">
        <f t="shared" si="20"/>
        <v>-9.6545454545454579</v>
      </c>
      <c r="X19" s="16">
        <f t="shared" si="21"/>
        <v>-10.72727272727273</v>
      </c>
      <c r="Y19" s="16">
        <f t="shared" si="22"/>
        <v>-11.800000000000002</v>
      </c>
      <c r="AA19" s="12">
        <f t="shared" si="23"/>
        <v>1.4679166666666665</v>
      </c>
      <c r="AB19" s="12">
        <f>11.8/11</f>
        <v>1.0727272727272728</v>
      </c>
      <c r="AC19" s="12">
        <v>1.4630000000000001</v>
      </c>
      <c r="AD19" s="12">
        <v>-11.650999999999994</v>
      </c>
    </row>
    <row r="20" spans="1:30" ht="13.8" x14ac:dyDescent="0.25">
      <c r="A20" s="1">
        <v>34</v>
      </c>
      <c r="B20" s="4">
        <f t="shared" si="24"/>
        <v>17.869999999999997</v>
      </c>
      <c r="C20" s="4">
        <f t="shared" si="6"/>
        <v>16.380833333333332</v>
      </c>
      <c r="D20" s="4">
        <f t="shared" si="7"/>
        <v>14.891666666666666</v>
      </c>
      <c r="E20" s="4">
        <f t="shared" si="8"/>
        <v>13.4025</v>
      </c>
      <c r="F20" s="4">
        <f t="shared" si="9"/>
        <v>11.913333333333334</v>
      </c>
      <c r="G20" s="4">
        <f t="shared" si="10"/>
        <v>10.424166666666668</v>
      </c>
      <c r="H20" s="4">
        <f t="shared" si="11"/>
        <v>8.9350000000000023</v>
      </c>
      <c r="I20" s="16">
        <f t="shared" si="25"/>
        <v>7.4458333333333355</v>
      </c>
      <c r="J20" s="16">
        <f t="shared" si="26"/>
        <v>5.9566666666666688</v>
      </c>
      <c r="K20" s="16">
        <f t="shared" si="27"/>
        <v>4.467500000000002</v>
      </c>
      <c r="L20" s="16">
        <f t="shared" si="28"/>
        <v>2.9783333333333353</v>
      </c>
      <c r="M20" s="16">
        <f t="shared" si="29"/>
        <v>1.4891666666666687</v>
      </c>
      <c r="N20" s="16">
        <f t="shared" si="30"/>
        <v>2.2204460492503131E-15</v>
      </c>
      <c r="O20" s="16">
        <f t="shared" si="12"/>
        <v>-1.0454545454545432</v>
      </c>
      <c r="P20" s="16">
        <f t="shared" si="13"/>
        <v>-2.0909090909090886</v>
      </c>
      <c r="Q20" s="16">
        <f t="shared" si="14"/>
        <v>-3.136363636363634</v>
      </c>
      <c r="R20" s="16">
        <f t="shared" si="15"/>
        <v>-4.1818181818181799</v>
      </c>
      <c r="S20" s="16">
        <f t="shared" si="16"/>
        <v>-5.2272727272727249</v>
      </c>
      <c r="T20" s="16">
        <f t="shared" si="17"/>
        <v>-6.2727272727272698</v>
      </c>
      <c r="U20" s="16">
        <f t="shared" si="18"/>
        <v>-7.3181818181818148</v>
      </c>
      <c r="V20" s="16">
        <f t="shared" si="19"/>
        <v>-8.3636363636363598</v>
      </c>
      <c r="W20" s="16">
        <f t="shared" si="20"/>
        <v>-9.4090909090909047</v>
      </c>
      <c r="X20" s="16">
        <f t="shared" si="21"/>
        <v>-10.45454545454545</v>
      </c>
      <c r="Y20" s="16">
        <f t="shared" si="22"/>
        <v>-11.499999999999995</v>
      </c>
      <c r="AA20" s="12">
        <f t="shared" si="23"/>
        <v>1.4891666666666665</v>
      </c>
      <c r="AB20" s="12">
        <f>11.5/11</f>
        <v>1.0454545454545454</v>
      </c>
      <c r="AC20" s="12">
        <v>1.4850000000000001</v>
      </c>
      <c r="AD20" s="12">
        <v>-11.827999999999994</v>
      </c>
    </row>
    <row r="21" spans="1:30" ht="13.8" x14ac:dyDescent="0.25">
      <c r="A21" s="1">
        <v>35</v>
      </c>
      <c r="B21" s="4">
        <f t="shared" si="24"/>
        <v>18.124999999999996</v>
      </c>
      <c r="C21" s="4">
        <f t="shared" si="6"/>
        <v>16.614583333333329</v>
      </c>
      <c r="D21" s="4">
        <f t="shared" si="7"/>
        <v>15.104166666666663</v>
      </c>
      <c r="E21" s="4">
        <f t="shared" si="8"/>
        <v>13.593749999999996</v>
      </c>
      <c r="F21" s="4">
        <f t="shared" si="9"/>
        <v>12.08333333333333</v>
      </c>
      <c r="G21" s="4">
        <f t="shared" si="10"/>
        <v>10.572916666666664</v>
      </c>
      <c r="H21" s="4">
        <f t="shared" si="11"/>
        <v>9.0624999999999982</v>
      </c>
      <c r="I21" s="16">
        <f t="shared" si="25"/>
        <v>7.5520833333333321</v>
      </c>
      <c r="J21" s="16">
        <f t="shared" si="26"/>
        <v>6.0416666666666661</v>
      </c>
      <c r="K21" s="16">
        <f t="shared" si="27"/>
        <v>4.53125</v>
      </c>
      <c r="L21" s="16">
        <f t="shared" si="28"/>
        <v>3.0208333333333339</v>
      </c>
      <c r="M21" s="16">
        <f t="shared" si="29"/>
        <v>1.5104166666666676</v>
      </c>
      <c r="N21" s="16">
        <f t="shared" si="30"/>
        <v>0</v>
      </c>
      <c r="O21" s="16">
        <f t="shared" si="12"/>
        <v>-1.0636363636363635</v>
      </c>
      <c r="P21" s="16">
        <f t="shared" si="13"/>
        <v>-2.127272727272727</v>
      </c>
      <c r="Q21" s="16">
        <f t="shared" si="14"/>
        <v>-3.1909090909090905</v>
      </c>
      <c r="R21" s="16">
        <f t="shared" si="15"/>
        <v>-4.254545454545454</v>
      </c>
      <c r="S21" s="16">
        <f t="shared" si="16"/>
        <v>-5.3181818181818175</v>
      </c>
      <c r="T21" s="16">
        <f t="shared" si="17"/>
        <v>-6.3818181818181809</v>
      </c>
      <c r="U21" s="16">
        <f t="shared" si="18"/>
        <v>-7.4454545454545444</v>
      </c>
      <c r="V21" s="16">
        <f t="shared" si="19"/>
        <v>-8.5090909090909079</v>
      </c>
      <c r="W21" s="16">
        <f t="shared" si="20"/>
        <v>-9.5727272727272705</v>
      </c>
      <c r="X21" s="16">
        <f t="shared" si="21"/>
        <v>-10.636363636363633</v>
      </c>
      <c r="Y21" s="16">
        <f t="shared" si="22"/>
        <v>-11.699999999999996</v>
      </c>
      <c r="AA21" s="12">
        <f t="shared" si="23"/>
        <v>1.5104166666666663</v>
      </c>
      <c r="AB21" s="12">
        <f>11.7/11</f>
        <v>1.0636363636363635</v>
      </c>
      <c r="AC21" s="12">
        <v>1.5069999999999999</v>
      </c>
      <c r="AD21" s="12">
        <v>-12.004999999999994</v>
      </c>
    </row>
    <row r="22" spans="1:30" ht="13.8" x14ac:dyDescent="0.25">
      <c r="A22" s="1">
        <v>36</v>
      </c>
      <c r="B22" s="4">
        <f t="shared" si="24"/>
        <v>18.379999999999995</v>
      </c>
      <c r="C22" s="4">
        <f t="shared" si="6"/>
        <v>16.848333333333329</v>
      </c>
      <c r="D22" s="4">
        <f t="shared" si="7"/>
        <v>15.316666666666663</v>
      </c>
      <c r="E22" s="4">
        <f t="shared" si="8"/>
        <v>13.784999999999997</v>
      </c>
      <c r="F22" s="4">
        <f t="shared" si="9"/>
        <v>12.25333333333333</v>
      </c>
      <c r="G22" s="4">
        <f t="shared" si="10"/>
        <v>10.721666666666664</v>
      </c>
      <c r="H22" s="4">
        <f t="shared" si="11"/>
        <v>9.1899999999999977</v>
      </c>
      <c r="I22" s="16">
        <f t="shared" si="25"/>
        <v>7.6583333333333314</v>
      </c>
      <c r="J22" s="16">
        <f t="shared" si="26"/>
        <v>6.1266666666666652</v>
      </c>
      <c r="K22" s="16">
        <f t="shared" si="27"/>
        <v>4.5949999999999989</v>
      </c>
      <c r="L22" s="16">
        <f t="shared" si="28"/>
        <v>3.0633333333333326</v>
      </c>
      <c r="M22" s="16">
        <f t="shared" si="29"/>
        <v>1.5316666666666663</v>
      </c>
      <c r="N22" s="16">
        <f t="shared" si="30"/>
        <v>0</v>
      </c>
      <c r="O22" s="16">
        <f t="shared" si="12"/>
        <v>-1.0818181818181818</v>
      </c>
      <c r="P22" s="16">
        <f t="shared" si="13"/>
        <v>-2.1636363636363636</v>
      </c>
      <c r="Q22" s="16">
        <f t="shared" si="14"/>
        <v>-3.2454545454545451</v>
      </c>
      <c r="R22" s="16">
        <f t="shared" si="15"/>
        <v>-4.3272727272727272</v>
      </c>
      <c r="S22" s="16">
        <f t="shared" si="16"/>
        <v>-5.4090909090909092</v>
      </c>
      <c r="T22" s="16">
        <f t="shared" si="17"/>
        <v>-6.4909090909090912</v>
      </c>
      <c r="U22" s="16">
        <f t="shared" si="18"/>
        <v>-7.5727272727272732</v>
      </c>
      <c r="V22" s="16">
        <f t="shared" si="19"/>
        <v>-8.6545454545454543</v>
      </c>
      <c r="W22" s="16">
        <f t="shared" si="20"/>
        <v>-9.7363636363636363</v>
      </c>
      <c r="X22" s="16">
        <f t="shared" si="21"/>
        <v>-10.818181818181818</v>
      </c>
      <c r="Y22" s="16">
        <f t="shared" si="22"/>
        <v>-11.9</v>
      </c>
      <c r="AA22" s="12">
        <f t="shared" si="23"/>
        <v>1.5316666666666663</v>
      </c>
      <c r="AB22" s="12">
        <f>11.9/11</f>
        <v>1.0818181818181818</v>
      </c>
      <c r="AC22" s="12">
        <v>1.528</v>
      </c>
      <c r="AD22" s="12">
        <v>-12.181999999999993</v>
      </c>
    </row>
    <row r="23" spans="1:30" ht="13.8" x14ac:dyDescent="0.25">
      <c r="A23" s="1">
        <v>37</v>
      </c>
      <c r="B23" s="4">
        <f t="shared" si="24"/>
        <v>18.634999999999994</v>
      </c>
      <c r="C23" s="4">
        <f t="shared" si="6"/>
        <v>17.08208333333333</v>
      </c>
      <c r="D23" s="4">
        <f t="shared" si="7"/>
        <v>15.529166666666663</v>
      </c>
      <c r="E23" s="4">
        <f t="shared" si="8"/>
        <v>13.976249999999997</v>
      </c>
      <c r="F23" s="4">
        <f t="shared" si="9"/>
        <v>12.42333333333333</v>
      </c>
      <c r="G23" s="4">
        <f t="shared" si="10"/>
        <v>10.870416666666664</v>
      </c>
      <c r="H23" s="4">
        <f t="shared" si="11"/>
        <v>9.3174999999999972</v>
      </c>
      <c r="I23" s="16">
        <f t="shared" si="25"/>
        <v>7.7645833333333307</v>
      </c>
      <c r="J23" s="16">
        <f t="shared" si="26"/>
        <v>6.2116666666666642</v>
      </c>
      <c r="K23" s="16">
        <f t="shared" si="27"/>
        <v>4.6587499999999977</v>
      </c>
      <c r="L23" s="16">
        <f t="shared" si="28"/>
        <v>3.1058333333333312</v>
      </c>
      <c r="M23" s="16">
        <f t="shared" si="29"/>
        <v>1.5529166666666649</v>
      </c>
      <c r="N23" s="16">
        <f t="shared" si="30"/>
        <v>0</v>
      </c>
      <c r="O23" s="16">
        <f t="shared" si="12"/>
        <v>-1.0909090909090908</v>
      </c>
      <c r="P23" s="16">
        <f t="shared" si="13"/>
        <v>-2.1818181818181817</v>
      </c>
      <c r="Q23" s="16">
        <f t="shared" si="14"/>
        <v>-3.2727272727272725</v>
      </c>
      <c r="R23" s="16">
        <f t="shared" si="15"/>
        <v>-4.3636363636363633</v>
      </c>
      <c r="S23" s="16">
        <f t="shared" si="16"/>
        <v>-5.4545454545454541</v>
      </c>
      <c r="T23" s="16">
        <f t="shared" si="17"/>
        <v>-6.545454545454545</v>
      </c>
      <c r="U23" s="16">
        <f t="shared" si="18"/>
        <v>-7.6363636363636358</v>
      </c>
      <c r="V23" s="16">
        <f t="shared" si="19"/>
        <v>-8.7272727272727266</v>
      </c>
      <c r="W23" s="16">
        <f t="shared" si="20"/>
        <v>-9.8181818181818166</v>
      </c>
      <c r="X23" s="16">
        <f t="shared" si="21"/>
        <v>-10.909090909090907</v>
      </c>
      <c r="Y23" s="16">
        <f t="shared" si="22"/>
        <v>-11.999999999999996</v>
      </c>
      <c r="AA23" s="12">
        <f t="shared" si="23"/>
        <v>1.5529166666666663</v>
      </c>
      <c r="AB23" s="12">
        <f>12/11</f>
        <v>1.0909090909090908</v>
      </c>
      <c r="AC23" s="12">
        <v>1.55</v>
      </c>
      <c r="AD23" s="12">
        <v>-12.358999999999993</v>
      </c>
    </row>
    <row r="24" spans="1:30" ht="13.8" x14ac:dyDescent="0.25">
      <c r="A24" s="1">
        <v>38</v>
      </c>
      <c r="B24" s="4">
        <f t="shared" si="24"/>
        <v>18.889999999999993</v>
      </c>
      <c r="C24" s="4">
        <f t="shared" si="6"/>
        <v>17.315833333333327</v>
      </c>
      <c r="D24" s="4">
        <f t="shared" si="7"/>
        <v>15.74166666666666</v>
      </c>
      <c r="E24" s="4">
        <f t="shared" si="8"/>
        <v>14.167499999999993</v>
      </c>
      <c r="F24" s="4">
        <f t="shared" si="9"/>
        <v>12.593333333333327</v>
      </c>
      <c r="G24" s="4">
        <f t="shared" si="10"/>
        <v>11.01916666666666</v>
      </c>
      <c r="H24" s="4">
        <f t="shared" si="11"/>
        <v>9.4449999999999932</v>
      </c>
      <c r="I24" s="16">
        <f t="shared" si="25"/>
        <v>7.8708333333333274</v>
      </c>
      <c r="J24" s="16">
        <f t="shared" si="26"/>
        <v>6.2966666666666615</v>
      </c>
      <c r="K24" s="16">
        <f t="shared" si="27"/>
        <v>4.7224999999999957</v>
      </c>
      <c r="L24" s="16">
        <f t="shared" si="28"/>
        <v>3.1483333333333299</v>
      </c>
      <c r="M24" s="16">
        <f t="shared" si="29"/>
        <v>1.5741666666666638</v>
      </c>
      <c r="N24" s="16">
        <f t="shared" si="30"/>
        <v>-2.2204460492503131E-15</v>
      </c>
      <c r="O24" s="16">
        <f t="shared" si="12"/>
        <v>-1.1272727272727294</v>
      </c>
      <c r="P24" s="16">
        <f t="shared" si="13"/>
        <v>-2.2545454545454566</v>
      </c>
      <c r="Q24" s="16">
        <f t="shared" si="14"/>
        <v>-3.3818181818181836</v>
      </c>
      <c r="R24" s="16">
        <f t="shared" si="15"/>
        <v>-4.5090909090909106</v>
      </c>
      <c r="S24" s="16">
        <f t="shared" si="16"/>
        <v>-5.6363636363636376</v>
      </c>
      <c r="T24" s="16">
        <f t="shared" si="17"/>
        <v>-6.7636363636363646</v>
      </c>
      <c r="U24" s="16">
        <f t="shared" si="18"/>
        <v>-7.8909090909090915</v>
      </c>
      <c r="V24" s="16">
        <f t="shared" si="19"/>
        <v>-9.0181818181818194</v>
      </c>
      <c r="W24" s="16">
        <f t="shared" si="20"/>
        <v>-10.145454545454546</v>
      </c>
      <c r="X24" s="16">
        <f t="shared" si="21"/>
        <v>-11.272727272727273</v>
      </c>
      <c r="Y24" s="16">
        <f t="shared" si="22"/>
        <v>-12.4</v>
      </c>
      <c r="AA24" s="12">
        <f t="shared" si="23"/>
        <v>1.574166666666666</v>
      </c>
      <c r="AB24" s="12">
        <f>12.4/11</f>
        <v>1.1272727272727272</v>
      </c>
      <c r="AC24" s="12">
        <v>1.571</v>
      </c>
      <c r="AD24" s="12">
        <v>-12.535999999999992</v>
      </c>
    </row>
    <row r="25" spans="1:30" ht="13.8" x14ac:dyDescent="0.25">
      <c r="A25" s="1">
        <v>39</v>
      </c>
      <c r="B25" s="4">
        <f t="shared" si="24"/>
        <v>19.144999999999992</v>
      </c>
      <c r="C25" s="4">
        <f t="shared" si="6"/>
        <v>17.549583333333327</v>
      </c>
      <c r="D25" s="4">
        <f t="shared" si="7"/>
        <v>15.954166666666662</v>
      </c>
      <c r="E25" s="4">
        <f t="shared" si="8"/>
        <v>14.358749999999997</v>
      </c>
      <c r="F25" s="4">
        <f t="shared" si="9"/>
        <v>12.763333333333332</v>
      </c>
      <c r="G25" s="4">
        <f t="shared" si="10"/>
        <v>11.167916666666667</v>
      </c>
      <c r="H25" s="4">
        <f t="shared" si="11"/>
        <v>9.5725000000000016</v>
      </c>
      <c r="I25" s="16">
        <f t="shared" si="25"/>
        <v>7.9770833333333355</v>
      </c>
      <c r="J25" s="16">
        <f t="shared" si="26"/>
        <v>6.3816666666666695</v>
      </c>
      <c r="K25" s="16">
        <f t="shared" si="27"/>
        <v>4.7862500000000034</v>
      </c>
      <c r="L25" s="16">
        <f t="shared" si="28"/>
        <v>3.1908333333333374</v>
      </c>
      <c r="M25" s="16">
        <f t="shared" si="29"/>
        <v>1.5954166666666714</v>
      </c>
      <c r="N25" s="16">
        <f t="shared" si="30"/>
        <v>5.3290705182007514E-15</v>
      </c>
      <c r="O25" s="16">
        <f t="shared" si="12"/>
        <v>-1.1545454545454492</v>
      </c>
      <c r="P25" s="16">
        <f t="shared" si="13"/>
        <v>-2.3090909090909038</v>
      </c>
      <c r="Q25" s="16">
        <f t="shared" si="14"/>
        <v>-3.4636363636363585</v>
      </c>
      <c r="R25" s="16">
        <f t="shared" si="15"/>
        <v>-4.6181818181818128</v>
      </c>
      <c r="S25" s="16">
        <f t="shared" si="16"/>
        <v>-5.7727272727272672</v>
      </c>
      <c r="T25" s="16">
        <f t="shared" si="17"/>
        <v>-6.9272727272727215</v>
      </c>
      <c r="U25" s="16">
        <f t="shared" si="18"/>
        <v>-8.0818181818181767</v>
      </c>
      <c r="V25" s="16">
        <f t="shared" si="19"/>
        <v>-9.236363636363631</v>
      </c>
      <c r="W25" s="16">
        <f t="shared" si="20"/>
        <v>-10.390909090909085</v>
      </c>
      <c r="X25" s="16">
        <f t="shared" si="21"/>
        <v>-11.54545454545454</v>
      </c>
      <c r="Y25" s="16">
        <f t="shared" si="22"/>
        <v>-12.699999999999994</v>
      </c>
      <c r="AA25" s="12">
        <f t="shared" si="23"/>
        <v>1.595416666666666</v>
      </c>
      <c r="AB25" s="12">
        <f>12.7/11</f>
        <v>1.1545454545454545</v>
      </c>
      <c r="AC25" s="12">
        <v>1.593</v>
      </c>
      <c r="AD25" s="12">
        <v>-12.712999999999992</v>
      </c>
    </row>
    <row r="26" spans="1:30" ht="13.8" x14ac:dyDescent="0.25">
      <c r="A26" s="7">
        <v>40</v>
      </c>
      <c r="B26" s="6">
        <f t="shared" si="24"/>
        <v>19.399999999999991</v>
      </c>
      <c r="C26" s="6">
        <f t="shared" si="6"/>
        <v>17.783333333333324</v>
      </c>
      <c r="D26" s="6">
        <f t="shared" si="7"/>
        <v>16.166666666666657</v>
      </c>
      <c r="E26" s="6">
        <f t="shared" si="8"/>
        <v>14.549999999999992</v>
      </c>
      <c r="F26" s="6">
        <f t="shared" si="9"/>
        <v>12.933333333333326</v>
      </c>
      <c r="G26" s="6">
        <f t="shared" si="10"/>
        <v>11.316666666666661</v>
      </c>
      <c r="H26" s="6">
        <f t="shared" si="11"/>
        <v>9.6999999999999957</v>
      </c>
      <c r="I26" s="17">
        <f t="shared" si="25"/>
        <v>8.0833333333333304</v>
      </c>
      <c r="J26" s="17">
        <f t="shared" si="26"/>
        <v>6.4666666666666641</v>
      </c>
      <c r="K26" s="17">
        <f t="shared" si="27"/>
        <v>4.8499999999999979</v>
      </c>
      <c r="L26" s="17">
        <f t="shared" si="28"/>
        <v>3.2333333333333316</v>
      </c>
      <c r="M26" s="17">
        <f t="shared" si="29"/>
        <v>1.6166666666666656</v>
      </c>
      <c r="N26" s="17">
        <f t="shared" si="30"/>
        <v>0</v>
      </c>
      <c r="O26" s="17">
        <f t="shared" si="12"/>
        <v>-1.1727272727272728</v>
      </c>
      <c r="P26" s="17">
        <f t="shared" si="13"/>
        <v>-2.3454545454545457</v>
      </c>
      <c r="Q26" s="17">
        <f t="shared" si="14"/>
        <v>-3.5181818181818185</v>
      </c>
      <c r="R26" s="17">
        <f t="shared" si="15"/>
        <v>-4.6909090909090914</v>
      </c>
      <c r="S26" s="17">
        <f t="shared" si="16"/>
        <v>-5.8636363636363642</v>
      </c>
      <c r="T26" s="17">
        <f t="shared" si="17"/>
        <v>-7.036363636363637</v>
      </c>
      <c r="U26" s="17">
        <f t="shared" si="18"/>
        <v>-8.2090909090909108</v>
      </c>
      <c r="V26" s="17">
        <f t="shared" si="19"/>
        <v>-9.3818181818181827</v>
      </c>
      <c r="W26" s="17">
        <f t="shared" si="20"/>
        <v>-10.554545454545455</v>
      </c>
      <c r="X26" s="17">
        <f t="shared" si="21"/>
        <v>-11.727272727272727</v>
      </c>
      <c r="Y26" s="17">
        <f t="shared" si="22"/>
        <v>-12.899999999999999</v>
      </c>
      <c r="Z26" s="15"/>
      <c r="AA26" s="26">
        <f t="shared" si="23"/>
        <v>1.616666666666666</v>
      </c>
      <c r="AB26" s="26">
        <f>12.9/11</f>
        <v>1.1727272727272728</v>
      </c>
      <c r="AC26" s="26">
        <v>1.615</v>
      </c>
      <c r="AD26" s="26">
        <v>-12.889999999999992</v>
      </c>
    </row>
    <row r="27" spans="1:30" ht="13.8" x14ac:dyDescent="0.25">
      <c r="A27" s="1">
        <v>41</v>
      </c>
      <c r="B27" s="4">
        <f t="shared" si="24"/>
        <v>19.65499999999999</v>
      </c>
      <c r="C27" s="4">
        <f t="shared" si="6"/>
        <v>18.017083333333325</v>
      </c>
      <c r="D27" s="4">
        <f t="shared" si="7"/>
        <v>16.379166666666659</v>
      </c>
      <c r="E27" s="4">
        <f t="shared" si="8"/>
        <v>14.741249999999994</v>
      </c>
      <c r="F27" s="4">
        <f t="shared" si="9"/>
        <v>13.103333333333328</v>
      </c>
      <c r="G27" s="4">
        <f t="shared" si="10"/>
        <v>11.465416666666663</v>
      </c>
      <c r="H27" s="4">
        <f t="shared" si="11"/>
        <v>9.827499999999997</v>
      </c>
      <c r="I27" s="16">
        <f t="shared" si="25"/>
        <v>8.1895833333333314</v>
      </c>
      <c r="J27" s="16">
        <f t="shared" si="26"/>
        <v>6.5516666666666659</v>
      </c>
      <c r="K27" s="16">
        <f t="shared" si="27"/>
        <v>4.9137500000000003</v>
      </c>
      <c r="L27" s="16">
        <f t="shared" si="28"/>
        <v>3.2758333333333347</v>
      </c>
      <c r="M27" s="16">
        <f t="shared" si="29"/>
        <v>1.6379166666666689</v>
      </c>
      <c r="N27" s="16">
        <f t="shared" si="30"/>
        <v>3.1086244689504383E-15</v>
      </c>
      <c r="O27" s="16">
        <f t="shared" si="12"/>
        <v>-1.1799999999999968</v>
      </c>
      <c r="P27" s="16">
        <f t="shared" si="13"/>
        <v>-2.3599999999999968</v>
      </c>
      <c r="Q27" s="16">
        <f t="shared" si="14"/>
        <v>-3.5399999999999965</v>
      </c>
      <c r="R27" s="16">
        <f t="shared" si="15"/>
        <v>-4.7199999999999962</v>
      </c>
      <c r="S27" s="16">
        <f t="shared" si="16"/>
        <v>-5.8999999999999959</v>
      </c>
      <c r="T27" s="16">
        <f t="shared" si="17"/>
        <v>-7.0799999999999956</v>
      </c>
      <c r="U27" s="16">
        <f t="shared" si="18"/>
        <v>-8.2599999999999962</v>
      </c>
      <c r="V27" s="16">
        <f t="shared" si="19"/>
        <v>-9.4399999999999959</v>
      </c>
      <c r="W27" s="16">
        <f t="shared" si="20"/>
        <v>-10.619999999999996</v>
      </c>
      <c r="X27" s="16">
        <f t="shared" si="21"/>
        <v>-11.799999999999995</v>
      </c>
      <c r="Y27" s="16">
        <f t="shared" si="22"/>
        <v>-12.979999999999995</v>
      </c>
      <c r="AA27" s="12">
        <f t="shared" si="23"/>
        <v>1.6379166666666658</v>
      </c>
      <c r="AB27" s="12">
        <v>1.18</v>
      </c>
      <c r="AC27" s="12">
        <v>1.6359999999999999</v>
      </c>
      <c r="AD27" s="12">
        <v>-13.066999999999991</v>
      </c>
    </row>
    <row r="28" spans="1:30" ht="13.8" x14ac:dyDescent="0.25">
      <c r="A28" s="1">
        <v>42</v>
      </c>
      <c r="B28" s="4">
        <f t="shared" si="24"/>
        <v>19.909999999999989</v>
      </c>
      <c r="C28" s="4">
        <f t="shared" si="6"/>
        <v>18.250833333333325</v>
      </c>
      <c r="D28" s="4">
        <f t="shared" si="7"/>
        <v>16.591666666666661</v>
      </c>
      <c r="E28" s="4">
        <f t="shared" si="8"/>
        <v>14.932499999999996</v>
      </c>
      <c r="F28" s="4">
        <f t="shared" si="9"/>
        <v>13.27333333333333</v>
      </c>
      <c r="G28" s="4">
        <f t="shared" si="10"/>
        <v>11.614166666666664</v>
      </c>
      <c r="H28" s="4">
        <f t="shared" si="11"/>
        <v>9.9549999999999983</v>
      </c>
      <c r="I28" s="16">
        <f t="shared" si="25"/>
        <v>8.2958333333333325</v>
      </c>
      <c r="J28" s="16">
        <f t="shared" si="26"/>
        <v>6.6366666666666667</v>
      </c>
      <c r="K28" s="16">
        <f t="shared" si="27"/>
        <v>4.9775000000000009</v>
      </c>
      <c r="L28" s="16">
        <f t="shared" si="28"/>
        <v>3.3183333333333351</v>
      </c>
      <c r="M28" s="16">
        <f t="shared" si="29"/>
        <v>1.6591666666666693</v>
      </c>
      <c r="N28" s="16">
        <f t="shared" si="30"/>
        <v>3.5527136788005009E-15</v>
      </c>
      <c r="O28" s="16">
        <f t="shared" si="12"/>
        <v>-1.1899999999999964</v>
      </c>
      <c r="P28" s="16">
        <f t="shared" si="13"/>
        <v>-2.3799999999999963</v>
      </c>
      <c r="Q28" s="16">
        <f t="shared" si="14"/>
        <v>-3.5699999999999963</v>
      </c>
      <c r="R28" s="16">
        <f t="shared" si="15"/>
        <v>-4.7599999999999962</v>
      </c>
      <c r="S28" s="16">
        <f t="shared" si="16"/>
        <v>-5.9499999999999957</v>
      </c>
      <c r="T28" s="16">
        <f t="shared" si="17"/>
        <v>-7.1399999999999952</v>
      </c>
      <c r="U28" s="16">
        <f t="shared" si="18"/>
        <v>-8.3299999999999947</v>
      </c>
      <c r="V28" s="16">
        <f t="shared" si="19"/>
        <v>-9.5199999999999942</v>
      </c>
      <c r="W28" s="16">
        <f t="shared" si="20"/>
        <v>-10.709999999999994</v>
      </c>
      <c r="X28" s="16">
        <f t="shared" si="21"/>
        <v>-11.899999999999993</v>
      </c>
      <c r="Y28" s="16">
        <f t="shared" si="22"/>
        <v>-13.089999999999993</v>
      </c>
      <c r="AA28" s="12">
        <f t="shared" si="23"/>
        <v>1.6591666666666658</v>
      </c>
      <c r="AB28" s="12">
        <v>1.19</v>
      </c>
      <c r="AC28" s="12">
        <v>1.6579999999999999</v>
      </c>
      <c r="AD28" s="12">
        <v>-13.243999999999991</v>
      </c>
    </row>
    <row r="29" spans="1:30" ht="13.8" x14ac:dyDescent="0.25">
      <c r="A29" s="1">
        <v>43</v>
      </c>
      <c r="B29" s="4">
        <f t="shared" si="24"/>
        <v>20.164999999999988</v>
      </c>
      <c r="C29" s="4">
        <f t="shared" si="6"/>
        <v>18.484583333333322</v>
      </c>
      <c r="D29" s="4">
        <f t="shared" si="7"/>
        <v>16.804166666666656</v>
      </c>
      <c r="E29" s="4">
        <f t="shared" si="8"/>
        <v>15.12374999999999</v>
      </c>
      <c r="F29" s="4">
        <f t="shared" si="9"/>
        <v>13.443333333333324</v>
      </c>
      <c r="G29" s="4">
        <f t="shared" si="10"/>
        <v>11.762916666666658</v>
      </c>
      <c r="H29" s="4">
        <f t="shared" si="11"/>
        <v>10.082499999999992</v>
      </c>
      <c r="I29" s="16">
        <f t="shared" si="25"/>
        <v>8.4020833333333265</v>
      </c>
      <c r="J29" s="16">
        <f t="shared" si="26"/>
        <v>6.7216666666666605</v>
      </c>
      <c r="K29" s="16">
        <f t="shared" si="27"/>
        <v>5.0412499999999945</v>
      </c>
      <c r="L29" s="16">
        <f t="shared" si="28"/>
        <v>3.3608333333333285</v>
      </c>
      <c r="M29" s="16">
        <f t="shared" si="29"/>
        <v>1.6804166666666627</v>
      </c>
      <c r="N29" s="16">
        <f t="shared" si="30"/>
        <v>-3.1086244689504383E-15</v>
      </c>
      <c r="O29" s="16">
        <f t="shared" si="12"/>
        <v>-1.2100000000000031</v>
      </c>
      <c r="P29" s="16">
        <f t="shared" si="13"/>
        <v>-2.420000000000003</v>
      </c>
      <c r="Q29" s="16">
        <f t="shared" si="14"/>
        <v>-3.630000000000003</v>
      </c>
      <c r="R29" s="16">
        <f t="shared" si="15"/>
        <v>-4.8400000000000034</v>
      </c>
      <c r="S29" s="16">
        <f t="shared" si="16"/>
        <v>-6.0500000000000034</v>
      </c>
      <c r="T29" s="16">
        <f t="shared" si="17"/>
        <v>-7.2600000000000033</v>
      </c>
      <c r="U29" s="16">
        <f t="shared" si="18"/>
        <v>-8.4700000000000024</v>
      </c>
      <c r="V29" s="16">
        <f t="shared" si="19"/>
        <v>-9.6800000000000033</v>
      </c>
      <c r="W29" s="16">
        <f t="shared" si="20"/>
        <v>-10.890000000000004</v>
      </c>
      <c r="X29" s="16">
        <f t="shared" si="21"/>
        <v>-12.100000000000005</v>
      </c>
      <c r="Y29" s="16">
        <f t="shared" si="22"/>
        <v>-13.310000000000006</v>
      </c>
      <c r="AA29" s="12">
        <f t="shared" si="23"/>
        <v>1.6804166666666658</v>
      </c>
      <c r="AB29" s="12">
        <v>1.21</v>
      </c>
      <c r="AC29" s="12">
        <v>1.679</v>
      </c>
      <c r="AD29" s="12">
        <v>-13.42099999999999</v>
      </c>
    </row>
    <row r="30" spans="1:30" ht="13.8" x14ac:dyDescent="0.25">
      <c r="A30" s="1">
        <v>44</v>
      </c>
      <c r="B30" s="4">
        <f t="shared" si="24"/>
        <v>20.419999999999987</v>
      </c>
      <c r="C30" s="4">
        <f t="shared" si="6"/>
        <v>18.718333333333323</v>
      </c>
      <c r="D30" s="4">
        <f t="shared" si="7"/>
        <v>17.016666666666659</v>
      </c>
      <c r="E30" s="4">
        <f t="shared" si="8"/>
        <v>15.314999999999992</v>
      </c>
      <c r="F30" s="4">
        <f t="shared" si="9"/>
        <v>13.613333333333326</v>
      </c>
      <c r="G30" s="4">
        <f t="shared" si="10"/>
        <v>11.91166666666666</v>
      </c>
      <c r="H30" s="4">
        <f t="shared" si="11"/>
        <v>10.209999999999994</v>
      </c>
      <c r="I30" s="16">
        <f t="shared" si="25"/>
        <v>8.5083333333333275</v>
      </c>
      <c r="J30" s="16">
        <f t="shared" si="26"/>
        <v>6.8066666666666622</v>
      </c>
      <c r="K30" s="16">
        <f t="shared" si="27"/>
        <v>5.1049999999999969</v>
      </c>
      <c r="L30" s="16">
        <f t="shared" si="28"/>
        <v>3.4033333333333315</v>
      </c>
      <c r="M30" s="16">
        <f t="shared" si="29"/>
        <v>1.701666666666666</v>
      </c>
      <c r="N30" s="16">
        <f t="shared" si="30"/>
        <v>0</v>
      </c>
      <c r="O30" s="16">
        <f t="shared" si="12"/>
        <v>-1.23</v>
      </c>
      <c r="P30" s="16">
        <f t="shared" si="13"/>
        <v>-2.46</v>
      </c>
      <c r="Q30" s="16">
        <f t="shared" si="14"/>
        <v>-3.69</v>
      </c>
      <c r="R30" s="16">
        <f t="shared" si="15"/>
        <v>-4.92</v>
      </c>
      <c r="S30" s="16">
        <f t="shared" si="16"/>
        <v>-6.15</v>
      </c>
      <c r="T30" s="16">
        <f t="shared" si="17"/>
        <v>-7.3800000000000008</v>
      </c>
      <c r="U30" s="16">
        <f t="shared" si="18"/>
        <v>-8.6100000000000012</v>
      </c>
      <c r="V30" s="16">
        <f t="shared" si="19"/>
        <v>-9.8400000000000016</v>
      </c>
      <c r="W30" s="16">
        <f t="shared" si="20"/>
        <v>-11.070000000000002</v>
      </c>
      <c r="X30" s="16">
        <f t="shared" si="21"/>
        <v>-12.300000000000002</v>
      </c>
      <c r="Y30" s="16">
        <f t="shared" si="22"/>
        <v>-13.530000000000003</v>
      </c>
      <c r="AA30" s="12">
        <f t="shared" si="23"/>
        <v>1.7016666666666656</v>
      </c>
      <c r="AB30" s="12">
        <v>1.23</v>
      </c>
      <c r="AC30" s="12">
        <v>1.7010000000000001</v>
      </c>
      <c r="AD30" s="12">
        <v>-13.59799999999999</v>
      </c>
    </row>
    <row r="31" spans="1:30" ht="13.8" x14ac:dyDescent="0.25">
      <c r="A31" s="1">
        <v>45</v>
      </c>
      <c r="B31" s="4">
        <f t="shared" si="24"/>
        <v>20.674999999999986</v>
      </c>
      <c r="C31" s="4">
        <f t="shared" si="6"/>
        <v>18.95208333333332</v>
      </c>
      <c r="D31" s="4">
        <f t="shared" si="7"/>
        <v>17.229166666666654</v>
      </c>
      <c r="E31" s="4">
        <f t="shared" si="8"/>
        <v>15.506249999999987</v>
      </c>
      <c r="F31" s="4">
        <f t="shared" si="9"/>
        <v>13.783333333333321</v>
      </c>
      <c r="G31" s="4">
        <f t="shared" si="10"/>
        <v>12.060416666666654</v>
      </c>
      <c r="H31" s="4">
        <f t="shared" si="11"/>
        <v>10.337499999999988</v>
      </c>
      <c r="I31" s="16">
        <f t="shared" si="25"/>
        <v>8.6145833333333215</v>
      </c>
      <c r="J31" s="16">
        <f t="shared" si="26"/>
        <v>6.8916666666666559</v>
      </c>
      <c r="K31" s="16">
        <f t="shared" si="27"/>
        <v>5.1687499999999904</v>
      </c>
      <c r="L31" s="16">
        <f t="shared" si="28"/>
        <v>3.4458333333333249</v>
      </c>
      <c r="M31" s="16">
        <f t="shared" si="29"/>
        <v>1.7229166666666593</v>
      </c>
      <c r="N31" s="16">
        <f t="shared" si="30"/>
        <v>-6.2172489379008766E-15</v>
      </c>
      <c r="O31" s="16">
        <f t="shared" si="12"/>
        <v>-1.2500000000000062</v>
      </c>
      <c r="P31" s="16">
        <f t="shared" si="13"/>
        <v>-2.5000000000000062</v>
      </c>
      <c r="Q31" s="16">
        <f t="shared" si="14"/>
        <v>-3.7500000000000062</v>
      </c>
      <c r="R31" s="16">
        <f t="shared" si="15"/>
        <v>-5.0000000000000062</v>
      </c>
      <c r="S31" s="16">
        <f t="shared" si="16"/>
        <v>-6.2500000000000062</v>
      </c>
      <c r="T31" s="16">
        <f t="shared" si="17"/>
        <v>-7.5000000000000062</v>
      </c>
      <c r="U31" s="16">
        <f t="shared" si="18"/>
        <v>-8.7500000000000071</v>
      </c>
      <c r="V31" s="16">
        <f t="shared" si="19"/>
        <v>-10.000000000000007</v>
      </c>
      <c r="W31" s="16">
        <f t="shared" si="20"/>
        <v>-11.250000000000007</v>
      </c>
      <c r="X31" s="16">
        <f t="shared" si="21"/>
        <v>-12.500000000000007</v>
      </c>
      <c r="Y31" s="16">
        <f t="shared" si="22"/>
        <v>-13.750000000000007</v>
      </c>
      <c r="AA31" s="12">
        <f t="shared" si="23"/>
        <v>1.7229166666666655</v>
      </c>
      <c r="AB31" s="12">
        <v>1.25</v>
      </c>
      <c r="AC31" s="12">
        <v>1.7230000000000001</v>
      </c>
      <c r="AD31" s="12">
        <v>-13.77499999999999</v>
      </c>
    </row>
    <row r="32" spans="1:30" ht="13.8" x14ac:dyDescent="0.25">
      <c r="A32" s="1">
        <v>46</v>
      </c>
      <c r="B32" s="4">
        <f t="shared" si="24"/>
        <v>20.929999999999986</v>
      </c>
      <c r="C32" s="4">
        <f t="shared" si="6"/>
        <v>19.185833333333321</v>
      </c>
      <c r="D32" s="4">
        <f t="shared" si="7"/>
        <v>17.441666666666656</v>
      </c>
      <c r="E32" s="4">
        <f t="shared" si="8"/>
        <v>15.697499999999991</v>
      </c>
      <c r="F32" s="4">
        <f t="shared" si="9"/>
        <v>13.953333333333326</v>
      </c>
      <c r="G32" s="4">
        <f t="shared" si="10"/>
        <v>12.209166666666661</v>
      </c>
      <c r="H32" s="4">
        <f t="shared" si="11"/>
        <v>10.464999999999996</v>
      </c>
      <c r="I32" s="16">
        <f t="shared" si="25"/>
        <v>8.7208333333333314</v>
      </c>
      <c r="J32" s="16">
        <f t="shared" si="26"/>
        <v>6.9766666666666657</v>
      </c>
      <c r="K32" s="16">
        <f t="shared" si="27"/>
        <v>5.2324999999999999</v>
      </c>
      <c r="L32" s="16">
        <f t="shared" si="28"/>
        <v>3.4883333333333342</v>
      </c>
      <c r="M32" s="16">
        <f t="shared" si="29"/>
        <v>1.7441666666666686</v>
      </c>
      <c r="N32" s="16">
        <f t="shared" si="30"/>
        <v>3.1086244689504383E-15</v>
      </c>
      <c r="O32" s="16">
        <f t="shared" si="12"/>
        <v>-1.2699999999999969</v>
      </c>
      <c r="P32" s="16">
        <f t="shared" si="13"/>
        <v>-2.5399999999999969</v>
      </c>
      <c r="Q32" s="16">
        <f t="shared" si="14"/>
        <v>-3.8099999999999969</v>
      </c>
      <c r="R32" s="16">
        <f t="shared" si="15"/>
        <v>-5.0799999999999965</v>
      </c>
      <c r="S32" s="16">
        <f t="shared" si="16"/>
        <v>-6.3499999999999961</v>
      </c>
      <c r="T32" s="16">
        <f t="shared" si="17"/>
        <v>-7.6199999999999957</v>
      </c>
      <c r="U32" s="16">
        <f t="shared" si="18"/>
        <v>-8.8899999999999952</v>
      </c>
      <c r="V32" s="16">
        <f t="shared" si="19"/>
        <v>-10.159999999999995</v>
      </c>
      <c r="W32" s="16">
        <f t="shared" si="20"/>
        <v>-11.429999999999994</v>
      </c>
      <c r="X32" s="16">
        <f t="shared" si="21"/>
        <v>-12.699999999999994</v>
      </c>
      <c r="Y32" s="16">
        <f t="shared" si="22"/>
        <v>-13.969999999999994</v>
      </c>
      <c r="AA32" s="12">
        <f t="shared" si="23"/>
        <v>1.7441666666666655</v>
      </c>
      <c r="AB32" s="12">
        <v>1.27</v>
      </c>
      <c r="AC32" s="12">
        <v>1.744</v>
      </c>
      <c r="AD32" s="12">
        <v>-13.951999999999989</v>
      </c>
    </row>
    <row r="33" spans="1:30" ht="13.8" x14ac:dyDescent="0.25">
      <c r="A33" s="1">
        <v>47</v>
      </c>
      <c r="B33" s="4">
        <f t="shared" si="24"/>
        <v>21.184999999999985</v>
      </c>
      <c r="C33" s="4">
        <f t="shared" si="6"/>
        <v>19.419583333333318</v>
      </c>
      <c r="D33" s="4">
        <f t="shared" si="7"/>
        <v>17.654166666666651</v>
      </c>
      <c r="E33" s="4">
        <f t="shared" si="8"/>
        <v>15.888749999999986</v>
      </c>
      <c r="F33" s="4">
        <f t="shared" si="9"/>
        <v>14.123333333333321</v>
      </c>
      <c r="G33" s="4">
        <f t="shared" si="10"/>
        <v>12.357916666666656</v>
      </c>
      <c r="H33" s="4">
        <f t="shared" si="11"/>
        <v>10.59249999999999</v>
      </c>
      <c r="I33" s="16">
        <f t="shared" si="25"/>
        <v>8.8270833333333254</v>
      </c>
      <c r="J33" s="16">
        <f t="shared" si="26"/>
        <v>7.0616666666666603</v>
      </c>
      <c r="K33" s="16">
        <f t="shared" si="27"/>
        <v>5.2962499999999952</v>
      </c>
      <c r="L33" s="16">
        <f t="shared" si="28"/>
        <v>3.5308333333333302</v>
      </c>
      <c r="M33" s="16">
        <f t="shared" si="29"/>
        <v>1.7654166666666649</v>
      </c>
      <c r="N33" s="16">
        <f t="shared" si="30"/>
        <v>0</v>
      </c>
      <c r="O33" s="16">
        <f t="shared" si="12"/>
        <v>-1.29</v>
      </c>
      <c r="P33" s="16">
        <f t="shared" si="13"/>
        <v>-2.58</v>
      </c>
      <c r="Q33" s="16">
        <f t="shared" si="14"/>
        <v>-3.87</v>
      </c>
      <c r="R33" s="16">
        <f t="shared" si="15"/>
        <v>-5.16</v>
      </c>
      <c r="S33" s="16">
        <f t="shared" si="16"/>
        <v>-6.45</v>
      </c>
      <c r="T33" s="16">
        <f t="shared" si="17"/>
        <v>-7.74</v>
      </c>
      <c r="U33" s="16">
        <f t="shared" si="18"/>
        <v>-9.0300000000000011</v>
      </c>
      <c r="V33" s="16">
        <f t="shared" si="19"/>
        <v>-10.32</v>
      </c>
      <c r="W33" s="16">
        <f t="shared" si="20"/>
        <v>-11.61</v>
      </c>
      <c r="X33" s="16">
        <f t="shared" si="21"/>
        <v>-12.899999999999999</v>
      </c>
      <c r="Y33" s="16">
        <f t="shared" si="22"/>
        <v>-14.189999999999998</v>
      </c>
      <c r="AA33" s="12">
        <f t="shared" si="23"/>
        <v>1.7654166666666653</v>
      </c>
      <c r="AB33" s="12">
        <v>1.29</v>
      </c>
      <c r="AC33" s="12">
        <v>1.766</v>
      </c>
      <c r="AD33" s="12">
        <v>-14.128999999999989</v>
      </c>
    </row>
    <row r="34" spans="1:30" ht="13.8" x14ac:dyDescent="0.25">
      <c r="A34" s="1">
        <v>48</v>
      </c>
      <c r="B34" s="4">
        <f t="shared" si="24"/>
        <v>21.439999999999984</v>
      </c>
      <c r="C34" s="4">
        <f t="shared" si="6"/>
        <v>19.653333333333318</v>
      </c>
      <c r="D34" s="4">
        <f t="shared" si="7"/>
        <v>17.866666666666653</v>
      </c>
      <c r="E34" s="4">
        <f t="shared" si="8"/>
        <v>16.079999999999988</v>
      </c>
      <c r="F34" s="4">
        <f t="shared" si="9"/>
        <v>14.293333333333322</v>
      </c>
      <c r="G34" s="4">
        <f t="shared" si="10"/>
        <v>12.506666666666657</v>
      </c>
      <c r="H34" s="4">
        <f t="shared" si="11"/>
        <v>10.719999999999992</v>
      </c>
      <c r="I34" s="16">
        <f t="shared" si="25"/>
        <v>8.9333333333333265</v>
      </c>
      <c r="J34" s="16">
        <f t="shared" si="26"/>
        <v>7.1466666666666612</v>
      </c>
      <c r="K34" s="16">
        <f t="shared" si="27"/>
        <v>5.3599999999999959</v>
      </c>
      <c r="L34" s="16">
        <f t="shared" si="28"/>
        <v>3.5733333333333306</v>
      </c>
      <c r="M34" s="16">
        <f t="shared" si="29"/>
        <v>1.7866666666666653</v>
      </c>
      <c r="N34" s="16">
        <f t="shared" si="30"/>
        <v>0</v>
      </c>
      <c r="O34" s="16">
        <f t="shared" si="12"/>
        <v>-1.31</v>
      </c>
      <c r="P34" s="16">
        <f t="shared" si="13"/>
        <v>-2.62</v>
      </c>
      <c r="Q34" s="16">
        <f t="shared" si="14"/>
        <v>-3.93</v>
      </c>
      <c r="R34" s="16">
        <f t="shared" si="15"/>
        <v>-5.24</v>
      </c>
      <c r="S34" s="16">
        <f t="shared" si="16"/>
        <v>-6.5500000000000007</v>
      </c>
      <c r="T34" s="16">
        <f t="shared" si="17"/>
        <v>-7.8600000000000012</v>
      </c>
      <c r="U34" s="16">
        <f t="shared" si="18"/>
        <v>-9.1700000000000017</v>
      </c>
      <c r="V34" s="16">
        <f t="shared" si="19"/>
        <v>-10.480000000000002</v>
      </c>
      <c r="W34" s="16">
        <f t="shared" si="20"/>
        <v>-11.790000000000003</v>
      </c>
      <c r="X34" s="16">
        <f t="shared" si="21"/>
        <v>-13.100000000000003</v>
      </c>
      <c r="Y34" s="16">
        <f t="shared" si="22"/>
        <v>-14.410000000000004</v>
      </c>
      <c r="AA34" s="12">
        <f t="shared" si="23"/>
        <v>1.7866666666666653</v>
      </c>
      <c r="AB34" s="12">
        <v>1.31</v>
      </c>
      <c r="AC34" s="12">
        <v>1.7869999999999999</v>
      </c>
      <c r="AD34" s="12">
        <v>-14.305999999999989</v>
      </c>
    </row>
    <row r="35" spans="1:30" ht="13.8" x14ac:dyDescent="0.25">
      <c r="A35" s="1">
        <v>49</v>
      </c>
      <c r="B35" s="4">
        <f t="shared" si="24"/>
        <v>21.694999999999983</v>
      </c>
      <c r="C35" s="4">
        <f t="shared" si="6"/>
        <v>19.887083333333319</v>
      </c>
      <c r="D35" s="4">
        <f t="shared" si="7"/>
        <v>18.079166666666655</v>
      </c>
      <c r="E35" s="4">
        <f t="shared" si="8"/>
        <v>16.271249999999991</v>
      </c>
      <c r="F35" s="4">
        <f t="shared" si="9"/>
        <v>14.463333333333326</v>
      </c>
      <c r="G35" s="4">
        <f t="shared" si="10"/>
        <v>12.65541666666666</v>
      </c>
      <c r="H35" s="4">
        <f t="shared" si="11"/>
        <v>10.847499999999995</v>
      </c>
      <c r="I35" s="16">
        <f t="shared" si="25"/>
        <v>9.0395833333333293</v>
      </c>
      <c r="J35" s="16">
        <f t="shared" si="26"/>
        <v>7.2316666666666638</v>
      </c>
      <c r="K35" s="16">
        <f t="shared" si="27"/>
        <v>5.4237499999999983</v>
      </c>
      <c r="L35" s="16">
        <f t="shared" si="28"/>
        <v>3.6158333333333328</v>
      </c>
      <c r="M35" s="16">
        <f t="shared" si="29"/>
        <v>1.8079166666666675</v>
      </c>
      <c r="N35" s="16">
        <f t="shared" si="30"/>
        <v>2.2204460492503131E-15</v>
      </c>
      <c r="O35" s="16">
        <f t="shared" si="12"/>
        <v>-1.3299999999999979</v>
      </c>
      <c r="P35" s="16">
        <f t="shared" si="13"/>
        <v>-2.6599999999999979</v>
      </c>
      <c r="Q35" s="16">
        <f t="shared" si="14"/>
        <v>-3.989999999999998</v>
      </c>
      <c r="R35" s="16">
        <f t="shared" si="15"/>
        <v>-5.3199999999999985</v>
      </c>
      <c r="S35" s="16">
        <f t="shared" si="16"/>
        <v>-6.6499999999999986</v>
      </c>
      <c r="T35" s="16">
        <f t="shared" si="17"/>
        <v>-7.9799999999999986</v>
      </c>
      <c r="U35" s="16">
        <f t="shared" si="18"/>
        <v>-9.3099999999999987</v>
      </c>
      <c r="V35" s="16">
        <f t="shared" si="19"/>
        <v>-10.639999999999999</v>
      </c>
      <c r="W35" s="16">
        <f t="shared" si="20"/>
        <v>-11.969999999999999</v>
      </c>
      <c r="X35" s="16">
        <f t="shared" si="21"/>
        <v>-13.299999999999999</v>
      </c>
      <c r="Y35" s="16">
        <f t="shared" si="22"/>
        <v>-14.629999999999999</v>
      </c>
      <c r="AA35" s="12">
        <f t="shared" si="23"/>
        <v>1.8079166666666653</v>
      </c>
      <c r="AB35" s="12">
        <v>1.33</v>
      </c>
      <c r="AC35" s="12">
        <v>1.8089999999999999</v>
      </c>
      <c r="AD35" s="12">
        <v>-14.482999999999988</v>
      </c>
    </row>
    <row r="36" spans="1:30" ht="13.8" x14ac:dyDescent="0.25">
      <c r="A36" s="7">
        <v>50</v>
      </c>
      <c r="B36" s="6">
        <f t="shared" si="24"/>
        <v>21.949999999999982</v>
      </c>
      <c r="C36" s="6">
        <f t="shared" si="6"/>
        <v>20.120833333333316</v>
      </c>
      <c r="D36" s="6">
        <f t="shared" si="7"/>
        <v>18.29166666666665</v>
      </c>
      <c r="E36" s="6">
        <f t="shared" si="8"/>
        <v>16.462499999999984</v>
      </c>
      <c r="F36" s="6">
        <f t="shared" si="9"/>
        <v>14.633333333333319</v>
      </c>
      <c r="G36" s="6">
        <f t="shared" si="10"/>
        <v>12.804166666666653</v>
      </c>
      <c r="H36" s="6">
        <f t="shared" si="11"/>
        <v>10.974999999999987</v>
      </c>
      <c r="I36" s="17">
        <f t="shared" si="25"/>
        <v>9.1458333333333215</v>
      </c>
      <c r="J36" s="17">
        <f t="shared" si="26"/>
        <v>7.3166666666666567</v>
      </c>
      <c r="K36" s="17">
        <f t="shared" si="27"/>
        <v>5.4874999999999918</v>
      </c>
      <c r="L36" s="17">
        <f t="shared" si="28"/>
        <v>3.658333333333327</v>
      </c>
      <c r="M36" s="17">
        <f t="shared" si="29"/>
        <v>1.8291666666666619</v>
      </c>
      <c r="N36" s="17">
        <f t="shared" si="30"/>
        <v>-3.1086244689504383E-15</v>
      </c>
      <c r="O36" s="17">
        <f t="shared" si="12"/>
        <v>-1.3363636363636393</v>
      </c>
      <c r="P36" s="17">
        <f t="shared" si="13"/>
        <v>-2.6727272727272755</v>
      </c>
      <c r="Q36" s="17">
        <f t="shared" si="14"/>
        <v>-4.0090909090909115</v>
      </c>
      <c r="R36" s="17">
        <f t="shared" si="15"/>
        <v>-5.3454545454545475</v>
      </c>
      <c r="S36" s="17">
        <f t="shared" si="16"/>
        <v>-6.6818181818181834</v>
      </c>
      <c r="T36" s="17">
        <f t="shared" si="17"/>
        <v>-8.0181818181818194</v>
      </c>
      <c r="U36" s="17">
        <f t="shared" si="18"/>
        <v>-9.3545454545454554</v>
      </c>
      <c r="V36" s="17">
        <f t="shared" si="19"/>
        <v>-10.690909090909091</v>
      </c>
      <c r="W36" s="17">
        <f t="shared" si="20"/>
        <v>-12.027272727272727</v>
      </c>
      <c r="X36" s="17" t="b">
        <f>B1=W36-AB36</f>
        <v>0</v>
      </c>
      <c r="Y36" s="17">
        <f t="shared" si="22"/>
        <v>-1.3363636363636362</v>
      </c>
      <c r="Z36" s="15"/>
      <c r="AA36" s="26">
        <f t="shared" si="23"/>
        <v>1.8291666666666651</v>
      </c>
      <c r="AB36" s="26">
        <f>14.7/11</f>
        <v>1.3363636363636362</v>
      </c>
      <c r="AC36" s="26">
        <v>1.831</v>
      </c>
      <c r="AD36" s="26">
        <v>-14.659999999999988</v>
      </c>
    </row>
    <row r="37" spans="1:30" ht="13.8" x14ac:dyDescent="0.25">
      <c r="A37" s="1">
        <v>51</v>
      </c>
      <c r="B37" s="4">
        <f t="shared" si="24"/>
        <v>22.204999999999981</v>
      </c>
      <c r="C37" s="4">
        <f t="shared" si="6"/>
        <v>20.354583333333316</v>
      </c>
      <c r="D37" s="4">
        <f t="shared" si="7"/>
        <v>18.504166666666652</v>
      </c>
      <c r="E37" s="4">
        <f t="shared" si="8"/>
        <v>16.653749999999988</v>
      </c>
      <c r="F37" s="4">
        <f t="shared" si="9"/>
        <v>14.803333333333324</v>
      </c>
      <c r="G37" s="4">
        <f t="shared" si="10"/>
        <v>12.95291666666666</v>
      </c>
      <c r="H37" s="4">
        <f t="shared" si="11"/>
        <v>11.102499999999996</v>
      </c>
      <c r="I37" s="16">
        <f t="shared" si="25"/>
        <v>9.2520833333333314</v>
      </c>
      <c r="J37" s="16">
        <f t="shared" si="26"/>
        <v>7.4016666666666664</v>
      </c>
      <c r="K37" s="16">
        <f t="shared" si="27"/>
        <v>5.5512500000000014</v>
      </c>
      <c r="L37" s="16">
        <f t="shared" si="28"/>
        <v>3.7008333333333363</v>
      </c>
      <c r="M37" s="16">
        <f t="shared" si="29"/>
        <v>1.8504166666666713</v>
      </c>
      <c r="N37" s="16">
        <f t="shared" si="30"/>
        <v>6.2172489379008766E-15</v>
      </c>
      <c r="O37" s="16">
        <f t="shared" si="12"/>
        <v>-1.3499999999999939</v>
      </c>
      <c r="P37" s="16">
        <f t="shared" si="13"/>
        <v>-2.699999999999994</v>
      </c>
      <c r="Q37" s="16">
        <f t="shared" si="14"/>
        <v>-4.0499999999999936</v>
      </c>
      <c r="R37" s="16">
        <f t="shared" si="15"/>
        <v>-5.3999999999999932</v>
      </c>
      <c r="S37" s="16">
        <f t="shared" si="16"/>
        <v>-6.7499999999999929</v>
      </c>
      <c r="T37" s="16">
        <f t="shared" si="17"/>
        <v>-8.0999999999999925</v>
      </c>
      <c r="U37" s="16">
        <f t="shared" si="18"/>
        <v>-9.4499999999999922</v>
      </c>
      <c r="V37" s="16">
        <f t="shared" si="19"/>
        <v>-10.799999999999992</v>
      </c>
      <c r="W37" s="16">
        <f t="shared" si="20"/>
        <v>-12.149999999999991</v>
      </c>
      <c r="X37" s="16">
        <f t="shared" si="21"/>
        <v>-13.499999999999991</v>
      </c>
      <c r="Y37" s="16">
        <f t="shared" si="22"/>
        <v>-14.849999999999991</v>
      </c>
      <c r="AA37" s="12">
        <f t="shared" si="23"/>
        <v>1.850416666666665</v>
      </c>
      <c r="AB37" s="12">
        <v>1.35</v>
      </c>
      <c r="AC37" s="12">
        <v>1.8520000000000001</v>
      </c>
      <c r="AD37" s="12">
        <v>-14.836999999999987</v>
      </c>
    </row>
    <row r="38" spans="1:30" ht="13.8" x14ac:dyDescent="0.25">
      <c r="A38" s="1">
        <v>52</v>
      </c>
      <c r="B38" s="4">
        <f t="shared" si="24"/>
        <v>22.45999999999998</v>
      </c>
      <c r="C38" s="4">
        <f t="shared" si="6"/>
        <v>20.588333333333313</v>
      </c>
      <c r="D38" s="4">
        <f t="shared" si="7"/>
        <v>18.716666666666647</v>
      </c>
      <c r="E38" s="4">
        <f t="shared" si="8"/>
        <v>16.844999999999981</v>
      </c>
      <c r="F38" s="4">
        <f t="shared" si="9"/>
        <v>14.973333333333317</v>
      </c>
      <c r="G38" s="4">
        <f t="shared" si="10"/>
        <v>13.101666666666652</v>
      </c>
      <c r="H38" s="4">
        <f t="shared" si="11"/>
        <v>11.229999999999988</v>
      </c>
      <c r="I38" s="16">
        <f t="shared" si="25"/>
        <v>9.3583333333333236</v>
      </c>
      <c r="J38" s="16">
        <f t="shared" si="26"/>
        <v>7.4866666666666584</v>
      </c>
      <c r="K38" s="16">
        <f t="shared" si="27"/>
        <v>5.6149999999999931</v>
      </c>
      <c r="L38" s="16">
        <f t="shared" si="28"/>
        <v>3.7433333333333279</v>
      </c>
      <c r="M38" s="16">
        <f t="shared" si="29"/>
        <v>1.8716666666666628</v>
      </c>
      <c r="N38" s="16">
        <f t="shared" si="30"/>
        <v>-2.2204460492503131E-15</v>
      </c>
      <c r="O38" s="16">
        <f t="shared" si="12"/>
        <v>-1.3700000000000023</v>
      </c>
      <c r="P38" s="16">
        <f t="shared" si="13"/>
        <v>-2.7400000000000024</v>
      </c>
      <c r="Q38" s="16">
        <f t="shared" si="14"/>
        <v>-4.110000000000003</v>
      </c>
      <c r="R38" s="16">
        <f t="shared" si="15"/>
        <v>-5.4800000000000031</v>
      </c>
      <c r="S38" s="16">
        <f t="shared" si="16"/>
        <v>-6.8500000000000032</v>
      </c>
      <c r="T38" s="16">
        <f t="shared" si="17"/>
        <v>-8.2200000000000024</v>
      </c>
      <c r="U38" s="16">
        <f t="shared" si="18"/>
        <v>-9.5900000000000034</v>
      </c>
      <c r="V38" s="16">
        <f t="shared" si="19"/>
        <v>-10.960000000000004</v>
      </c>
      <c r="W38" s="16">
        <f t="shared" si="20"/>
        <v>-12.330000000000005</v>
      </c>
      <c r="X38" s="16">
        <f t="shared" si="21"/>
        <v>-13.700000000000006</v>
      </c>
      <c r="Y38" s="16">
        <f t="shared" si="22"/>
        <v>-15.070000000000007</v>
      </c>
      <c r="AA38" s="12">
        <f t="shared" si="23"/>
        <v>1.871666666666665</v>
      </c>
      <c r="AB38" s="12">
        <v>1.37</v>
      </c>
      <c r="AC38" s="12">
        <v>1.8740000000000001</v>
      </c>
      <c r="AD38" s="12">
        <v>-15.013999999999987</v>
      </c>
    </row>
    <row r="39" spans="1:30" ht="13.8" x14ac:dyDescent="0.25">
      <c r="A39" s="1">
        <v>53</v>
      </c>
      <c r="B39" s="4">
        <f t="shared" si="24"/>
        <v>22.714999999999979</v>
      </c>
      <c r="C39" s="4">
        <f t="shared" si="6"/>
        <v>20.822083333333314</v>
      </c>
      <c r="D39" s="4">
        <f t="shared" si="7"/>
        <v>18.929166666666649</v>
      </c>
      <c r="E39" s="4">
        <f t="shared" si="8"/>
        <v>17.036249999999985</v>
      </c>
      <c r="F39" s="4">
        <f t="shared" si="9"/>
        <v>15.14333333333332</v>
      </c>
      <c r="G39" s="4">
        <f t="shared" si="10"/>
        <v>13.250416666666656</v>
      </c>
      <c r="H39" s="4">
        <f t="shared" si="11"/>
        <v>11.357499999999991</v>
      </c>
      <c r="I39" s="16">
        <f t="shared" si="25"/>
        <v>9.4645833333333265</v>
      </c>
      <c r="J39" s="16">
        <f t="shared" si="26"/>
        <v>7.5716666666666619</v>
      </c>
      <c r="K39" s="16">
        <f t="shared" si="27"/>
        <v>5.6787499999999973</v>
      </c>
      <c r="L39" s="16">
        <f t="shared" si="28"/>
        <v>3.7858333333333327</v>
      </c>
      <c r="M39" s="16">
        <f t="shared" si="29"/>
        <v>1.8929166666666679</v>
      </c>
      <c r="N39" s="16">
        <f t="shared" si="30"/>
        <v>3.1086244689504383E-15</v>
      </c>
      <c r="O39" s="16">
        <f t="shared" si="12"/>
        <v>-1.3799999999999968</v>
      </c>
      <c r="P39" s="16">
        <f t="shared" si="13"/>
        <v>-2.7599999999999967</v>
      </c>
      <c r="Q39" s="16">
        <f t="shared" si="14"/>
        <v>-4.139999999999997</v>
      </c>
      <c r="R39" s="16">
        <f t="shared" si="15"/>
        <v>-5.5199999999999969</v>
      </c>
      <c r="S39" s="16">
        <f t="shared" si="16"/>
        <v>-6.8999999999999968</v>
      </c>
      <c r="T39" s="16">
        <f t="shared" si="17"/>
        <v>-8.2799999999999976</v>
      </c>
      <c r="U39" s="16">
        <f t="shared" si="18"/>
        <v>-9.6599999999999966</v>
      </c>
      <c r="V39" s="16">
        <f t="shared" si="19"/>
        <v>-11.039999999999996</v>
      </c>
      <c r="W39" s="16">
        <f t="shared" si="20"/>
        <v>-12.419999999999995</v>
      </c>
      <c r="X39" s="16">
        <f t="shared" si="21"/>
        <v>-13.799999999999994</v>
      </c>
      <c r="Y39" s="16">
        <f t="shared" si="22"/>
        <v>-15.179999999999993</v>
      </c>
      <c r="AA39" s="12">
        <f t="shared" si="23"/>
        <v>1.8929166666666648</v>
      </c>
      <c r="AB39" s="12">
        <v>1.38</v>
      </c>
      <c r="AC39" s="12">
        <v>1.895</v>
      </c>
      <c r="AD39" s="12">
        <v>-15.190999999999987</v>
      </c>
    </row>
    <row r="40" spans="1:30" ht="13.8" x14ac:dyDescent="0.25">
      <c r="A40" s="1">
        <v>54</v>
      </c>
      <c r="B40" s="4">
        <f t="shared" si="24"/>
        <v>22.969999999999978</v>
      </c>
      <c r="C40" s="4">
        <f t="shared" si="6"/>
        <v>21.055833333333311</v>
      </c>
      <c r="D40" s="4">
        <f t="shared" si="7"/>
        <v>19.141666666666644</v>
      </c>
      <c r="E40" s="4">
        <f t="shared" si="8"/>
        <v>17.227499999999978</v>
      </c>
      <c r="F40" s="4">
        <f t="shared" si="9"/>
        <v>15.313333333333313</v>
      </c>
      <c r="G40" s="4">
        <f t="shared" si="10"/>
        <v>13.399166666666648</v>
      </c>
      <c r="H40" s="4">
        <f t="shared" si="11"/>
        <v>11.484999999999983</v>
      </c>
      <c r="I40" s="16">
        <f t="shared" si="25"/>
        <v>9.5708333333333186</v>
      </c>
      <c r="J40" s="16">
        <f t="shared" si="26"/>
        <v>7.6566666666666539</v>
      </c>
      <c r="K40" s="16">
        <f t="shared" si="27"/>
        <v>5.7424999999999891</v>
      </c>
      <c r="L40" s="16">
        <f t="shared" si="28"/>
        <v>3.8283333333333243</v>
      </c>
      <c r="M40" s="16">
        <f t="shared" si="29"/>
        <v>1.9141666666666595</v>
      </c>
      <c r="N40" s="16">
        <f t="shared" si="30"/>
        <v>-5.3290705182007514E-15</v>
      </c>
      <c r="O40" s="16">
        <f t="shared" si="12"/>
        <v>-1.3900000000000052</v>
      </c>
      <c r="P40" s="16">
        <f t="shared" si="13"/>
        <v>-2.7800000000000051</v>
      </c>
      <c r="Q40" s="16">
        <f t="shared" si="14"/>
        <v>-4.1700000000000053</v>
      </c>
      <c r="R40" s="16">
        <f t="shared" si="15"/>
        <v>-5.5600000000000049</v>
      </c>
      <c r="S40" s="16">
        <f t="shared" si="16"/>
        <v>-6.9500000000000046</v>
      </c>
      <c r="T40" s="16">
        <f t="shared" si="17"/>
        <v>-8.3400000000000052</v>
      </c>
      <c r="U40" s="16">
        <f t="shared" si="18"/>
        <v>-9.7300000000000058</v>
      </c>
      <c r="V40" s="16">
        <f t="shared" si="19"/>
        <v>-11.120000000000006</v>
      </c>
      <c r="W40" s="16">
        <f t="shared" si="20"/>
        <v>-12.510000000000007</v>
      </c>
      <c r="X40" s="16">
        <f t="shared" si="21"/>
        <v>-13.900000000000007</v>
      </c>
      <c r="Y40" s="16">
        <f t="shared" si="22"/>
        <v>-15.290000000000008</v>
      </c>
      <c r="AA40" s="12">
        <f t="shared" si="23"/>
        <v>1.9141666666666648</v>
      </c>
      <c r="AB40" s="12">
        <v>1.39</v>
      </c>
      <c r="AC40" s="12">
        <v>1.917</v>
      </c>
      <c r="AD40" s="12">
        <v>-15.367999999999986</v>
      </c>
    </row>
    <row r="41" spans="1:30" ht="13.8" x14ac:dyDescent="0.25">
      <c r="A41" s="1">
        <v>55</v>
      </c>
      <c r="B41" s="4">
        <f t="shared" si="24"/>
        <v>23.224999999999977</v>
      </c>
      <c r="C41" s="4">
        <f t="shared" si="6"/>
        <v>21.289583333333312</v>
      </c>
      <c r="D41" s="4">
        <f t="shared" si="7"/>
        <v>19.354166666666647</v>
      </c>
      <c r="E41" s="4">
        <f t="shared" si="8"/>
        <v>17.418749999999982</v>
      </c>
      <c r="F41" s="4">
        <f t="shared" si="9"/>
        <v>15.483333333333317</v>
      </c>
      <c r="G41" s="4">
        <f t="shared" si="10"/>
        <v>13.547916666666652</v>
      </c>
      <c r="H41" s="4">
        <f t="shared" si="11"/>
        <v>11.612499999999986</v>
      </c>
      <c r="I41" s="16">
        <f t="shared" si="25"/>
        <v>9.6770833333333215</v>
      </c>
      <c r="J41" s="16">
        <f t="shared" si="26"/>
        <v>7.7416666666666565</v>
      </c>
      <c r="K41" s="16">
        <f t="shared" si="27"/>
        <v>5.8062499999999915</v>
      </c>
      <c r="L41" s="16">
        <f t="shared" si="28"/>
        <v>3.8708333333333265</v>
      </c>
      <c r="M41" s="16">
        <f t="shared" si="29"/>
        <v>1.9354166666666617</v>
      </c>
      <c r="N41" s="16">
        <f t="shared" si="30"/>
        <v>-3.1086244689504383E-15</v>
      </c>
      <c r="O41" s="16">
        <f t="shared" si="12"/>
        <v>-1.410000000000003</v>
      </c>
      <c r="P41" s="16">
        <f t="shared" si="13"/>
        <v>-2.8200000000000029</v>
      </c>
      <c r="Q41" s="16">
        <f t="shared" si="14"/>
        <v>-4.2300000000000031</v>
      </c>
      <c r="R41" s="16">
        <f t="shared" si="15"/>
        <v>-5.6400000000000032</v>
      </c>
      <c r="S41" s="16">
        <f t="shared" si="16"/>
        <v>-7.0500000000000034</v>
      </c>
      <c r="T41" s="16">
        <f t="shared" si="17"/>
        <v>-8.4600000000000026</v>
      </c>
      <c r="U41" s="16">
        <f t="shared" si="18"/>
        <v>-9.8700000000000028</v>
      </c>
      <c r="V41" s="16">
        <f t="shared" si="19"/>
        <v>-11.280000000000003</v>
      </c>
      <c r="W41" s="16">
        <f t="shared" si="20"/>
        <v>-12.690000000000003</v>
      </c>
      <c r="X41" s="16">
        <f t="shared" si="21"/>
        <v>-14.100000000000003</v>
      </c>
      <c r="Y41" s="16">
        <f t="shared" si="22"/>
        <v>-15.510000000000003</v>
      </c>
      <c r="AA41" s="12">
        <f t="shared" si="23"/>
        <v>1.9354166666666648</v>
      </c>
      <c r="AB41" s="12">
        <v>1.41</v>
      </c>
      <c r="AC41" s="12">
        <v>1.9390000000000001</v>
      </c>
      <c r="AD41" s="12">
        <v>-15.544999999999986</v>
      </c>
    </row>
    <row r="42" spans="1:30" ht="13.8" x14ac:dyDescent="0.25">
      <c r="A42" s="1">
        <v>56</v>
      </c>
      <c r="B42" s="4">
        <f t="shared" si="24"/>
        <v>23.479999999999976</v>
      </c>
      <c r="C42" s="4">
        <f t="shared" si="6"/>
        <v>21.523333333333312</v>
      </c>
      <c r="D42" s="4">
        <f t="shared" si="7"/>
        <v>19.566666666666649</v>
      </c>
      <c r="E42" s="4">
        <f t="shared" si="8"/>
        <v>17.609999999999985</v>
      </c>
      <c r="F42" s="4">
        <f t="shared" si="9"/>
        <v>15.65333333333332</v>
      </c>
      <c r="G42" s="4">
        <f t="shared" si="10"/>
        <v>13.696666666666655</v>
      </c>
      <c r="H42" s="4">
        <f t="shared" si="11"/>
        <v>11.73999999999999</v>
      </c>
      <c r="I42" s="16">
        <f t="shared" si="25"/>
        <v>9.7833333333333243</v>
      </c>
      <c r="J42" s="16">
        <f t="shared" si="26"/>
        <v>7.82666666666666</v>
      </c>
      <c r="K42" s="16">
        <f t="shared" si="27"/>
        <v>5.8699999999999957</v>
      </c>
      <c r="L42" s="16">
        <f t="shared" si="28"/>
        <v>3.9133333333333313</v>
      </c>
      <c r="M42" s="16">
        <f t="shared" si="29"/>
        <v>1.9566666666666668</v>
      </c>
      <c r="N42" s="16">
        <f t="shared" si="30"/>
        <v>2.2204460492503131E-15</v>
      </c>
      <c r="O42" s="16">
        <f t="shared" si="12"/>
        <v>-1.4299999999999977</v>
      </c>
      <c r="P42" s="16">
        <f t="shared" si="13"/>
        <v>-2.8599999999999977</v>
      </c>
      <c r="Q42" s="16">
        <f t="shared" si="14"/>
        <v>-4.2899999999999974</v>
      </c>
      <c r="R42" s="16">
        <f t="shared" si="15"/>
        <v>-5.7199999999999971</v>
      </c>
      <c r="S42" s="16">
        <f t="shared" si="16"/>
        <v>-7.1499999999999968</v>
      </c>
      <c r="T42" s="16">
        <f t="shared" si="17"/>
        <v>-8.5799999999999965</v>
      </c>
      <c r="U42" s="16">
        <f t="shared" si="18"/>
        <v>-10.009999999999996</v>
      </c>
      <c r="V42" s="16">
        <f t="shared" si="19"/>
        <v>-11.439999999999996</v>
      </c>
      <c r="W42" s="16">
        <f t="shared" si="20"/>
        <v>-12.869999999999996</v>
      </c>
      <c r="X42" s="16">
        <f t="shared" si="21"/>
        <v>-14.299999999999995</v>
      </c>
      <c r="Y42" s="16">
        <f t="shared" si="22"/>
        <v>-15.729999999999995</v>
      </c>
      <c r="AA42" s="12">
        <f t="shared" si="23"/>
        <v>1.9566666666666646</v>
      </c>
      <c r="AB42" s="12">
        <v>1.43</v>
      </c>
      <c r="AC42" s="12">
        <v>1.96</v>
      </c>
      <c r="AD42" s="12">
        <v>-15.721999999999985</v>
      </c>
    </row>
    <row r="43" spans="1:30" ht="13.8" x14ac:dyDescent="0.25">
      <c r="A43" s="1">
        <v>57</v>
      </c>
      <c r="B43" s="4">
        <f t="shared" si="24"/>
        <v>23.734999999999975</v>
      </c>
      <c r="C43" s="4">
        <f t="shared" si="6"/>
        <v>21.757083333333309</v>
      </c>
      <c r="D43" s="4">
        <f t="shared" si="7"/>
        <v>19.779166666666644</v>
      </c>
      <c r="E43" s="4">
        <f t="shared" si="8"/>
        <v>17.801249999999978</v>
      </c>
      <c r="F43" s="4">
        <f t="shared" si="9"/>
        <v>15.823333333333313</v>
      </c>
      <c r="G43" s="4">
        <f t="shared" si="10"/>
        <v>13.845416666666647</v>
      </c>
      <c r="H43" s="4">
        <f t="shared" si="11"/>
        <v>11.867499999999982</v>
      </c>
      <c r="I43" s="16">
        <f t="shared" si="25"/>
        <v>9.8895833333333165</v>
      </c>
      <c r="J43" s="16">
        <f t="shared" si="26"/>
        <v>7.911666666666652</v>
      </c>
      <c r="K43" s="16">
        <f t="shared" si="27"/>
        <v>5.9337499999999874</v>
      </c>
      <c r="L43" s="16">
        <f t="shared" si="28"/>
        <v>3.9558333333333229</v>
      </c>
      <c r="M43" s="16">
        <f t="shared" si="29"/>
        <v>1.9779166666666583</v>
      </c>
      <c r="N43" s="16">
        <f t="shared" si="30"/>
        <v>-6.2172489379008766E-15</v>
      </c>
      <c r="O43" s="16">
        <f t="shared" si="12"/>
        <v>-1.4500000000000062</v>
      </c>
      <c r="P43" s="16">
        <f t="shared" si="13"/>
        <v>-2.9000000000000061</v>
      </c>
      <c r="Q43" s="16">
        <f t="shared" si="14"/>
        <v>-4.3500000000000059</v>
      </c>
      <c r="R43" s="16">
        <f t="shared" si="15"/>
        <v>-5.800000000000006</v>
      </c>
      <c r="S43" s="16">
        <f t="shared" si="16"/>
        <v>-7.2500000000000062</v>
      </c>
      <c r="T43" s="16">
        <f t="shared" si="17"/>
        <v>-8.7000000000000064</v>
      </c>
      <c r="U43" s="16">
        <f t="shared" si="18"/>
        <v>-10.150000000000006</v>
      </c>
      <c r="V43" s="16">
        <f t="shared" si="19"/>
        <v>-11.600000000000005</v>
      </c>
      <c r="W43" s="16">
        <f t="shared" si="20"/>
        <v>-13.050000000000004</v>
      </c>
      <c r="X43" s="16">
        <f t="shared" si="21"/>
        <v>-14.500000000000004</v>
      </c>
      <c r="Y43" s="16">
        <f t="shared" si="22"/>
        <v>-15.950000000000003</v>
      </c>
      <c r="AA43" s="12">
        <f t="shared" si="23"/>
        <v>1.9779166666666645</v>
      </c>
      <c r="AB43" s="12">
        <v>1.45</v>
      </c>
      <c r="AC43" s="12">
        <v>1.982</v>
      </c>
      <c r="AD43" s="12">
        <v>-15.898999999999985</v>
      </c>
    </row>
    <row r="44" spans="1:30" ht="13.8" x14ac:dyDescent="0.25">
      <c r="A44" s="1">
        <v>58</v>
      </c>
      <c r="B44" s="4">
        <f t="shared" si="24"/>
        <v>23.989999999999974</v>
      </c>
      <c r="C44" s="4">
        <f t="shared" si="6"/>
        <v>21.99083333333331</v>
      </c>
      <c r="D44" s="4">
        <f t="shared" si="7"/>
        <v>19.991666666666646</v>
      </c>
      <c r="E44" s="4">
        <f t="shared" si="8"/>
        <v>17.992499999999982</v>
      </c>
      <c r="F44" s="4">
        <f t="shared" si="9"/>
        <v>15.993333333333318</v>
      </c>
      <c r="G44" s="4">
        <f t="shared" si="10"/>
        <v>13.994166666666654</v>
      </c>
      <c r="H44" s="4">
        <f t="shared" si="11"/>
        <v>11.99499999999999</v>
      </c>
      <c r="I44" s="16">
        <f t="shared" si="25"/>
        <v>9.9958333333333265</v>
      </c>
      <c r="J44" s="16">
        <f t="shared" si="26"/>
        <v>7.9966666666666617</v>
      </c>
      <c r="K44" s="16">
        <f t="shared" si="27"/>
        <v>5.9974999999999969</v>
      </c>
      <c r="L44" s="16">
        <f t="shared" si="28"/>
        <v>3.9983333333333322</v>
      </c>
      <c r="M44" s="16">
        <f t="shared" si="29"/>
        <v>1.9991666666666676</v>
      </c>
      <c r="N44" s="16">
        <f t="shared" si="30"/>
        <v>3.1086244689504383E-15</v>
      </c>
      <c r="O44" s="16">
        <f t="shared" si="12"/>
        <v>-1.4699999999999969</v>
      </c>
      <c r="P44" s="16">
        <f t="shared" si="13"/>
        <v>-2.9399999999999968</v>
      </c>
      <c r="Q44" s="16">
        <f t="shared" si="14"/>
        <v>-4.4099999999999966</v>
      </c>
      <c r="R44" s="16">
        <f t="shared" si="15"/>
        <v>-5.8799999999999963</v>
      </c>
      <c r="S44" s="16">
        <f t="shared" si="16"/>
        <v>-7.3499999999999961</v>
      </c>
      <c r="T44" s="16">
        <f t="shared" si="17"/>
        <v>-8.8199999999999967</v>
      </c>
      <c r="U44" s="16">
        <f t="shared" si="18"/>
        <v>-10.289999999999997</v>
      </c>
      <c r="V44" s="16">
        <f t="shared" si="19"/>
        <v>-11.759999999999998</v>
      </c>
      <c r="W44" s="16">
        <f t="shared" si="20"/>
        <v>-13.229999999999999</v>
      </c>
      <c r="X44" s="16">
        <f t="shared" si="21"/>
        <v>-14.7</v>
      </c>
      <c r="Y44" s="16">
        <f t="shared" si="22"/>
        <v>-16.169999999999998</v>
      </c>
      <c r="AA44" s="12">
        <f t="shared" si="23"/>
        <v>1.9991666666666645</v>
      </c>
      <c r="AB44" s="12">
        <v>1.47</v>
      </c>
      <c r="AC44" s="12">
        <v>2.0030000000000001</v>
      </c>
      <c r="AD44" s="12">
        <v>-16.075999999999986</v>
      </c>
    </row>
    <row r="45" spans="1:30" ht="13.8" x14ac:dyDescent="0.25">
      <c r="A45" s="1">
        <v>59</v>
      </c>
      <c r="B45" s="4">
        <f t="shared" si="24"/>
        <v>24.244999999999973</v>
      </c>
      <c r="C45" s="4">
        <f t="shared" si="6"/>
        <v>22.224583333333307</v>
      </c>
      <c r="D45" s="4">
        <f t="shared" si="7"/>
        <v>20.204166666666641</v>
      </c>
      <c r="E45" s="4">
        <f t="shared" si="8"/>
        <v>18.183749999999975</v>
      </c>
      <c r="F45" s="4">
        <f t="shared" si="9"/>
        <v>16.163333333333309</v>
      </c>
      <c r="G45" s="4">
        <f t="shared" si="10"/>
        <v>14.142916666666645</v>
      </c>
      <c r="H45" s="4">
        <f t="shared" si="11"/>
        <v>12.122499999999981</v>
      </c>
      <c r="I45" s="16">
        <f t="shared" si="25"/>
        <v>10.102083333333317</v>
      </c>
      <c r="J45" s="16">
        <f t="shared" si="26"/>
        <v>8.0816666666666528</v>
      </c>
      <c r="K45" s="16">
        <f t="shared" si="27"/>
        <v>6.0612499999999887</v>
      </c>
      <c r="L45" s="16">
        <f t="shared" si="28"/>
        <v>4.0408333333333246</v>
      </c>
      <c r="M45" s="16">
        <f t="shared" si="29"/>
        <v>2.0204166666666601</v>
      </c>
      <c r="N45" s="16">
        <f t="shared" si="30"/>
        <v>-4.4408920985006262E-15</v>
      </c>
      <c r="O45" s="16">
        <f t="shared" si="12"/>
        <v>-1.4800000000000044</v>
      </c>
      <c r="P45" s="16">
        <f t="shared" si="13"/>
        <v>-2.9600000000000044</v>
      </c>
      <c r="Q45" s="16">
        <f t="shared" si="14"/>
        <v>-4.4400000000000048</v>
      </c>
      <c r="R45" s="16">
        <f t="shared" si="15"/>
        <v>-5.9200000000000053</v>
      </c>
      <c r="S45" s="16">
        <f t="shared" si="16"/>
        <v>-7.4000000000000057</v>
      </c>
      <c r="T45" s="16">
        <f t="shared" si="17"/>
        <v>-8.8800000000000061</v>
      </c>
      <c r="U45" s="16">
        <f t="shared" si="18"/>
        <v>-10.360000000000007</v>
      </c>
      <c r="V45" s="16">
        <f t="shared" si="19"/>
        <v>-11.840000000000007</v>
      </c>
      <c r="W45" s="16">
        <f t="shared" si="20"/>
        <v>-13.320000000000007</v>
      </c>
      <c r="X45" s="16">
        <f t="shared" si="21"/>
        <v>-14.800000000000008</v>
      </c>
      <c r="Y45" s="16">
        <f t="shared" si="22"/>
        <v>-16.280000000000008</v>
      </c>
      <c r="AA45" s="12">
        <f t="shared" si="23"/>
        <v>2.0204166666666645</v>
      </c>
      <c r="AB45" s="12">
        <v>1.48</v>
      </c>
      <c r="AC45" s="12">
        <v>2.0249999999999999</v>
      </c>
      <c r="AD45" s="12">
        <v>-16.252999999999986</v>
      </c>
    </row>
    <row r="46" spans="1:30" ht="13.8" x14ac:dyDescent="0.25">
      <c r="A46" s="7">
        <v>60</v>
      </c>
      <c r="B46" s="6">
        <f t="shared" si="24"/>
        <v>24.499999999999972</v>
      </c>
      <c r="C46" s="6">
        <f t="shared" si="6"/>
        <v>22.458333333333307</v>
      </c>
      <c r="D46" s="6">
        <f t="shared" si="7"/>
        <v>20.416666666666643</v>
      </c>
      <c r="E46" s="6">
        <f t="shared" si="8"/>
        <v>18.374999999999979</v>
      </c>
      <c r="F46" s="6">
        <f t="shared" si="9"/>
        <v>16.333333333333314</v>
      </c>
      <c r="G46" s="6">
        <f t="shared" si="10"/>
        <v>14.29166666666665</v>
      </c>
      <c r="H46" s="6">
        <f t="shared" si="11"/>
        <v>12.249999999999986</v>
      </c>
      <c r="I46" s="17">
        <f t="shared" si="25"/>
        <v>10.208333333333321</v>
      </c>
      <c r="J46" s="17">
        <f t="shared" si="26"/>
        <v>8.1666666666666572</v>
      </c>
      <c r="K46" s="17">
        <f t="shared" si="27"/>
        <v>6.1249999999999929</v>
      </c>
      <c r="L46" s="17">
        <f t="shared" si="28"/>
        <v>4.0833333333333286</v>
      </c>
      <c r="M46" s="17">
        <f t="shared" si="29"/>
        <v>2.0416666666666643</v>
      </c>
      <c r="N46" s="17">
        <f t="shared" si="30"/>
        <v>0</v>
      </c>
      <c r="O46" s="17">
        <f t="shared" si="12"/>
        <v>-1.4909090909090907</v>
      </c>
      <c r="P46" s="17">
        <f t="shared" si="13"/>
        <v>-2.9818181818181815</v>
      </c>
      <c r="Q46" s="17">
        <f t="shared" si="14"/>
        <v>-4.4727272727272727</v>
      </c>
      <c r="R46" s="17">
        <f t="shared" si="15"/>
        <v>-5.963636363636363</v>
      </c>
      <c r="S46" s="17">
        <f t="shared" si="16"/>
        <v>-7.4545454545454533</v>
      </c>
      <c r="T46" s="17">
        <f t="shared" si="17"/>
        <v>-8.9454545454545435</v>
      </c>
      <c r="U46" s="17">
        <f t="shared" si="18"/>
        <v>-10.436363636363634</v>
      </c>
      <c r="V46" s="17">
        <f t="shared" si="19"/>
        <v>-11.927272727272724</v>
      </c>
      <c r="W46" s="17">
        <f t="shared" si="20"/>
        <v>-13.418181818181814</v>
      </c>
      <c r="X46" s="17">
        <f t="shared" si="21"/>
        <v>-14.909090909090905</v>
      </c>
      <c r="Y46" s="17">
        <f t="shared" si="22"/>
        <v>-16.399999999999995</v>
      </c>
      <c r="Z46" s="15"/>
      <c r="AA46" s="26">
        <f t="shared" si="23"/>
        <v>2.0416666666666643</v>
      </c>
      <c r="AB46" s="26">
        <f>16.4/11</f>
        <v>1.4909090909090907</v>
      </c>
      <c r="AC46" s="26">
        <v>2.0470000000000002</v>
      </c>
      <c r="AD46" s="26">
        <v>-16.429999999999986</v>
      </c>
    </row>
    <row r="47" spans="1:30" ht="13.8" x14ac:dyDescent="0.25">
      <c r="A47" s="1">
        <v>61</v>
      </c>
      <c r="B47" s="4">
        <f t="shared" si="24"/>
        <v>24.754999999999971</v>
      </c>
      <c r="C47" s="4">
        <f t="shared" si="6"/>
        <v>22.692083333333308</v>
      </c>
      <c r="D47" s="4">
        <f t="shared" si="7"/>
        <v>20.629166666666645</v>
      </c>
      <c r="E47" s="4">
        <f t="shared" si="8"/>
        <v>18.566249999999982</v>
      </c>
      <c r="F47" s="4">
        <f t="shared" si="9"/>
        <v>16.50333333333332</v>
      </c>
      <c r="G47" s="4">
        <f t="shared" si="10"/>
        <v>14.440416666666655</v>
      </c>
      <c r="H47" s="4">
        <f t="shared" si="11"/>
        <v>12.377499999999991</v>
      </c>
      <c r="I47" s="16">
        <f t="shared" si="25"/>
        <v>10.314583333333326</v>
      </c>
      <c r="J47" s="16">
        <f t="shared" si="26"/>
        <v>8.2516666666666616</v>
      </c>
      <c r="K47" s="16">
        <f t="shared" si="27"/>
        <v>6.1887499999999971</v>
      </c>
      <c r="L47" s="16">
        <f t="shared" si="28"/>
        <v>4.1258333333333326</v>
      </c>
      <c r="M47" s="16">
        <f t="shared" si="29"/>
        <v>2.0629166666666685</v>
      </c>
      <c r="N47" s="16">
        <f t="shared" si="30"/>
        <v>4.4408920985006262E-15</v>
      </c>
      <c r="O47" s="16">
        <f t="shared" si="12"/>
        <v>-1.4999999999999956</v>
      </c>
      <c r="P47" s="16">
        <f t="shared" si="13"/>
        <v>-2.9999999999999956</v>
      </c>
      <c r="Q47" s="16">
        <f t="shared" si="14"/>
        <v>-4.4999999999999956</v>
      </c>
      <c r="R47" s="16">
        <f t="shared" si="15"/>
        <v>-5.9999999999999956</v>
      </c>
      <c r="S47" s="16">
        <f t="shared" si="16"/>
        <v>-7.4999999999999956</v>
      </c>
      <c r="T47" s="16">
        <f t="shared" si="17"/>
        <v>-8.9999999999999964</v>
      </c>
      <c r="U47" s="16">
        <f t="shared" si="18"/>
        <v>-10.499999999999996</v>
      </c>
      <c r="V47" s="16">
        <f t="shared" si="19"/>
        <v>-11.999999999999996</v>
      </c>
      <c r="W47" s="16">
        <f t="shared" si="20"/>
        <v>-13.499999999999996</v>
      </c>
      <c r="X47" s="16">
        <f t="shared" si="21"/>
        <v>-14.999999999999996</v>
      </c>
      <c r="Y47" s="16">
        <f t="shared" si="22"/>
        <v>-16.499999999999996</v>
      </c>
      <c r="AA47" s="12">
        <f t="shared" si="23"/>
        <v>2.0629166666666641</v>
      </c>
      <c r="AB47" s="12">
        <v>1.5</v>
      </c>
      <c r="AC47" s="12">
        <v>2.0680000000000001</v>
      </c>
      <c r="AD47" s="12">
        <v>-16.606999999999985</v>
      </c>
    </row>
    <row r="48" spans="1:30" ht="13.8" x14ac:dyDescent="0.25">
      <c r="A48" s="1">
        <v>62</v>
      </c>
      <c r="B48" s="4">
        <f t="shared" si="24"/>
        <v>25.00999999999997</v>
      </c>
      <c r="C48" s="4">
        <f t="shared" si="6"/>
        <v>22.925833333333305</v>
      </c>
      <c r="D48" s="4">
        <f t="shared" si="7"/>
        <v>20.84166666666664</v>
      </c>
      <c r="E48" s="4">
        <f t="shared" si="8"/>
        <v>18.757499999999975</v>
      </c>
      <c r="F48" s="4">
        <f t="shared" si="9"/>
        <v>16.673333333333311</v>
      </c>
      <c r="G48" s="4">
        <f t="shared" si="10"/>
        <v>14.589166666666646</v>
      </c>
      <c r="H48" s="4">
        <f t="shared" si="11"/>
        <v>12.504999999999981</v>
      </c>
      <c r="I48" s="16">
        <f t="shared" si="25"/>
        <v>10.420833333333317</v>
      </c>
      <c r="J48" s="16">
        <f t="shared" si="26"/>
        <v>8.3366666666666518</v>
      </c>
      <c r="K48" s="16">
        <f t="shared" si="27"/>
        <v>6.2524999999999871</v>
      </c>
      <c r="L48" s="16">
        <f t="shared" si="28"/>
        <v>4.1683333333333223</v>
      </c>
      <c r="M48" s="16">
        <f t="shared" si="29"/>
        <v>2.0841666666666581</v>
      </c>
      <c r="N48" s="16">
        <f t="shared" si="30"/>
        <v>-6.2172489379008766E-15</v>
      </c>
      <c r="O48" s="16">
        <f t="shared" si="12"/>
        <v>-1.5100000000000062</v>
      </c>
      <c r="P48" s="16">
        <f t="shared" si="13"/>
        <v>-3.0200000000000062</v>
      </c>
      <c r="Q48" s="16">
        <f t="shared" si="14"/>
        <v>-4.5300000000000065</v>
      </c>
      <c r="R48" s="16">
        <f t="shared" si="15"/>
        <v>-6.0400000000000063</v>
      </c>
      <c r="S48" s="16">
        <f t="shared" si="16"/>
        <v>-7.550000000000006</v>
      </c>
      <c r="T48" s="16">
        <f t="shared" si="17"/>
        <v>-9.0600000000000058</v>
      </c>
      <c r="U48" s="16">
        <f t="shared" si="18"/>
        <v>-10.570000000000006</v>
      </c>
      <c r="V48" s="16">
        <f t="shared" si="19"/>
        <v>-12.080000000000005</v>
      </c>
      <c r="W48" s="16">
        <f t="shared" si="20"/>
        <v>-13.590000000000005</v>
      </c>
      <c r="X48" s="16">
        <f t="shared" si="21"/>
        <v>-15.100000000000005</v>
      </c>
      <c r="Y48" s="16">
        <f t="shared" si="22"/>
        <v>-16.610000000000007</v>
      </c>
      <c r="AA48" s="12">
        <f t="shared" si="23"/>
        <v>2.0841666666666643</v>
      </c>
      <c r="AB48" s="12">
        <v>1.51</v>
      </c>
      <c r="AC48" s="12">
        <v>2.09</v>
      </c>
      <c r="AD48" s="12">
        <v>-16.783999999999985</v>
      </c>
    </row>
    <row r="49" spans="1:30" ht="13.8" x14ac:dyDescent="0.25">
      <c r="A49" s="1">
        <v>63</v>
      </c>
      <c r="B49" s="4">
        <f t="shared" si="24"/>
        <v>25.264999999999969</v>
      </c>
      <c r="C49" s="4">
        <f t="shared" si="6"/>
        <v>23.159583333333305</v>
      </c>
      <c r="D49" s="4">
        <f t="shared" si="7"/>
        <v>21.054166666666642</v>
      </c>
      <c r="E49" s="4">
        <f t="shared" si="8"/>
        <v>18.948749999999979</v>
      </c>
      <c r="F49" s="4">
        <f t="shared" si="9"/>
        <v>16.843333333333316</v>
      </c>
      <c r="G49" s="4">
        <f t="shared" si="10"/>
        <v>14.737916666666653</v>
      </c>
      <c r="H49" s="4">
        <f t="shared" si="11"/>
        <v>12.63249999999999</v>
      </c>
      <c r="I49" s="16">
        <f t="shared" si="25"/>
        <v>10.527083333333326</v>
      </c>
      <c r="J49" s="16">
        <f t="shared" si="26"/>
        <v>8.4216666666666633</v>
      </c>
      <c r="K49" s="16">
        <f t="shared" si="27"/>
        <v>6.3162499999999993</v>
      </c>
      <c r="L49" s="16">
        <f t="shared" si="28"/>
        <v>4.2108333333333352</v>
      </c>
      <c r="M49" s="16">
        <f t="shared" si="29"/>
        <v>2.1054166666666712</v>
      </c>
      <c r="N49" s="16">
        <f t="shared" si="30"/>
        <v>7.1054273576010019E-15</v>
      </c>
      <c r="O49" s="16">
        <f t="shared" si="12"/>
        <v>-1.5199999999999929</v>
      </c>
      <c r="P49" s="16">
        <f t="shared" si="13"/>
        <v>-3.0399999999999929</v>
      </c>
      <c r="Q49" s="16">
        <f t="shared" si="14"/>
        <v>-4.5599999999999934</v>
      </c>
      <c r="R49" s="16">
        <f t="shared" si="15"/>
        <v>-6.079999999999993</v>
      </c>
      <c r="S49" s="16">
        <f t="shared" si="16"/>
        <v>-7.5999999999999925</v>
      </c>
      <c r="T49" s="16">
        <f t="shared" si="17"/>
        <v>-9.1199999999999921</v>
      </c>
      <c r="U49" s="16">
        <f t="shared" si="18"/>
        <v>-10.639999999999992</v>
      </c>
      <c r="V49" s="16">
        <f t="shared" si="19"/>
        <v>-12.159999999999991</v>
      </c>
      <c r="W49" s="16">
        <f t="shared" si="20"/>
        <v>-13.679999999999991</v>
      </c>
      <c r="X49" s="16">
        <f t="shared" si="21"/>
        <v>-15.19999999999999</v>
      </c>
      <c r="Y49" s="16">
        <f t="shared" si="22"/>
        <v>-16.719999999999992</v>
      </c>
      <c r="AA49" s="12">
        <f t="shared" si="23"/>
        <v>2.105416666666664</v>
      </c>
      <c r="AB49" s="12">
        <v>1.52</v>
      </c>
      <c r="AC49" s="12">
        <v>2.1110000000000002</v>
      </c>
      <c r="AD49" s="12">
        <v>-16.960999999999984</v>
      </c>
    </row>
    <row r="50" spans="1:30" ht="13.8" x14ac:dyDescent="0.25">
      <c r="A50" s="1">
        <v>64</v>
      </c>
      <c r="B50" s="4">
        <f t="shared" si="24"/>
        <v>25.519999999999968</v>
      </c>
      <c r="C50" s="4">
        <f t="shared" si="6"/>
        <v>23.393333333333302</v>
      </c>
      <c r="D50" s="4">
        <f t="shared" si="7"/>
        <v>21.266666666666637</v>
      </c>
      <c r="E50" s="4">
        <f t="shared" si="8"/>
        <v>19.139999999999972</v>
      </c>
      <c r="F50" s="4">
        <f t="shared" si="9"/>
        <v>17.013333333333307</v>
      </c>
      <c r="G50" s="4">
        <f t="shared" si="10"/>
        <v>14.886666666666644</v>
      </c>
      <c r="H50" s="4">
        <f t="shared" si="11"/>
        <v>12.75999999999998</v>
      </c>
      <c r="I50" s="16">
        <f t="shared" si="25"/>
        <v>10.633333333333317</v>
      </c>
      <c r="J50" s="16">
        <f t="shared" si="26"/>
        <v>8.5066666666666535</v>
      </c>
      <c r="K50" s="16">
        <f t="shared" si="27"/>
        <v>6.3799999999999901</v>
      </c>
      <c r="L50" s="16">
        <f t="shared" si="28"/>
        <v>4.2533333333333267</v>
      </c>
      <c r="M50" s="16">
        <f t="shared" si="29"/>
        <v>2.1266666666666629</v>
      </c>
      <c r="N50" s="16">
        <f t="shared" si="30"/>
        <v>0</v>
      </c>
      <c r="O50" s="16">
        <f t="shared" si="12"/>
        <v>-1.53</v>
      </c>
      <c r="P50" s="16">
        <f t="shared" si="13"/>
        <v>-3.06</v>
      </c>
      <c r="Q50" s="16">
        <f t="shared" si="14"/>
        <v>-4.59</v>
      </c>
      <c r="R50" s="16">
        <f t="shared" si="15"/>
        <v>-6.12</v>
      </c>
      <c r="S50" s="16">
        <f t="shared" si="16"/>
        <v>-7.65</v>
      </c>
      <c r="T50" s="16">
        <f t="shared" si="17"/>
        <v>-9.18</v>
      </c>
      <c r="U50" s="16">
        <f t="shared" si="18"/>
        <v>-10.709999999999999</v>
      </c>
      <c r="V50" s="16">
        <f t="shared" si="19"/>
        <v>-12.239999999999998</v>
      </c>
      <c r="W50" s="16">
        <f t="shared" si="20"/>
        <v>-13.769999999999998</v>
      </c>
      <c r="X50" s="16">
        <f t="shared" si="21"/>
        <v>-15.299999999999997</v>
      </c>
      <c r="Y50" s="16">
        <f t="shared" si="22"/>
        <v>-16.829999999999998</v>
      </c>
      <c r="AA50" s="12">
        <f t="shared" si="23"/>
        <v>2.1266666666666638</v>
      </c>
      <c r="AB50" s="12">
        <v>1.53</v>
      </c>
      <c r="AC50" s="12">
        <v>2.133</v>
      </c>
      <c r="AD50" s="12">
        <v>-17.137999999999984</v>
      </c>
    </row>
    <row r="51" spans="1:30" ht="13.8" x14ac:dyDescent="0.25">
      <c r="A51" s="1">
        <v>65</v>
      </c>
      <c r="B51" s="4">
        <f t="shared" si="24"/>
        <v>25.774999999999967</v>
      </c>
      <c r="C51" s="4">
        <f t="shared" si="6"/>
        <v>23.627083333333303</v>
      </c>
      <c r="D51" s="4">
        <f t="shared" si="7"/>
        <v>21.479166666666639</v>
      </c>
      <c r="E51" s="4">
        <f t="shared" si="8"/>
        <v>19.331249999999976</v>
      </c>
      <c r="F51" s="4">
        <f t="shared" si="9"/>
        <v>17.183333333333312</v>
      </c>
      <c r="G51" s="4">
        <f t="shared" si="10"/>
        <v>15.035416666666649</v>
      </c>
      <c r="H51" s="4">
        <f t="shared" si="11"/>
        <v>12.887499999999985</v>
      </c>
      <c r="I51" s="16">
        <f t="shared" si="25"/>
        <v>10.739583333333321</v>
      </c>
      <c r="J51" s="16">
        <f t="shared" si="26"/>
        <v>8.5916666666666579</v>
      </c>
      <c r="K51" s="16">
        <f t="shared" si="27"/>
        <v>6.4437499999999943</v>
      </c>
      <c r="L51" s="16">
        <f t="shared" si="28"/>
        <v>4.2958333333333307</v>
      </c>
      <c r="M51" s="16">
        <f t="shared" si="29"/>
        <v>2.1479166666666667</v>
      </c>
      <c r="N51" s="16">
        <f t="shared" si="30"/>
        <v>0</v>
      </c>
      <c r="O51" s="16">
        <f t="shared" si="12"/>
        <v>-1.55</v>
      </c>
      <c r="P51" s="16">
        <f t="shared" si="13"/>
        <v>-3.1</v>
      </c>
      <c r="Q51" s="16">
        <f t="shared" si="14"/>
        <v>-4.6500000000000004</v>
      </c>
      <c r="R51" s="16">
        <f t="shared" si="15"/>
        <v>-6.2</v>
      </c>
      <c r="S51" s="16">
        <f t="shared" si="16"/>
        <v>-7.75</v>
      </c>
      <c r="T51" s="16">
        <f t="shared" si="17"/>
        <v>-9.3000000000000007</v>
      </c>
      <c r="U51" s="16">
        <f t="shared" si="18"/>
        <v>-10.850000000000001</v>
      </c>
      <c r="V51" s="16">
        <f t="shared" si="19"/>
        <v>-12.400000000000002</v>
      </c>
      <c r="W51" s="16">
        <f t="shared" si="20"/>
        <v>-13.950000000000003</v>
      </c>
      <c r="X51" s="16">
        <f t="shared" si="21"/>
        <v>-15.500000000000004</v>
      </c>
      <c r="Y51" s="16">
        <f t="shared" si="22"/>
        <v>-17.050000000000004</v>
      </c>
      <c r="AA51" s="12">
        <f t="shared" si="23"/>
        <v>2.147916666666664</v>
      </c>
      <c r="AB51" s="12">
        <v>1.55</v>
      </c>
      <c r="AC51" s="12">
        <v>2.1549999999999998</v>
      </c>
      <c r="AD51" s="12">
        <v>-17.314999999999984</v>
      </c>
    </row>
    <row r="52" spans="1:30" ht="13.8" x14ac:dyDescent="0.25">
      <c r="A52" s="1">
        <v>66</v>
      </c>
      <c r="B52" s="4">
        <f t="shared" si="24"/>
        <v>26.029999999999966</v>
      </c>
      <c r="C52" s="4">
        <f t="shared" si="6"/>
        <v>23.860833333333304</v>
      </c>
      <c r="D52" s="4">
        <f t="shared" si="7"/>
        <v>21.691666666666642</v>
      </c>
      <c r="E52" s="4">
        <f t="shared" si="8"/>
        <v>19.52249999999998</v>
      </c>
      <c r="F52" s="4">
        <f t="shared" si="9"/>
        <v>17.353333333333318</v>
      </c>
      <c r="G52" s="4">
        <f t="shared" si="10"/>
        <v>15.184166666666654</v>
      </c>
      <c r="H52" s="4">
        <f t="shared" si="11"/>
        <v>13.01499999999999</v>
      </c>
      <c r="I52" s="16">
        <f t="shared" si="25"/>
        <v>10.845833333333326</v>
      </c>
      <c r="J52" s="16">
        <f t="shared" si="26"/>
        <v>8.6766666666666623</v>
      </c>
      <c r="K52" s="16">
        <f t="shared" si="27"/>
        <v>6.5074999999999985</v>
      </c>
      <c r="L52" s="16">
        <f t="shared" si="28"/>
        <v>4.3383333333333347</v>
      </c>
      <c r="M52" s="16">
        <f t="shared" si="29"/>
        <v>2.1691666666666709</v>
      </c>
      <c r="N52" s="16">
        <f t="shared" si="30"/>
        <v>7.1054273576010019E-15</v>
      </c>
      <c r="O52" s="16">
        <f t="shared" si="12"/>
        <v>-1.569999999999993</v>
      </c>
      <c r="P52" s="16">
        <f t="shared" si="13"/>
        <v>-3.139999999999993</v>
      </c>
      <c r="Q52" s="16">
        <f t="shared" si="14"/>
        <v>-4.7099999999999929</v>
      </c>
      <c r="R52" s="16">
        <f t="shared" si="15"/>
        <v>-6.2799999999999931</v>
      </c>
      <c r="S52" s="16">
        <f t="shared" si="16"/>
        <v>-7.8499999999999934</v>
      </c>
      <c r="T52" s="16">
        <f t="shared" si="17"/>
        <v>-9.4199999999999928</v>
      </c>
      <c r="U52" s="16">
        <f t="shared" si="18"/>
        <v>-10.989999999999993</v>
      </c>
      <c r="V52" s="16">
        <f t="shared" si="19"/>
        <v>-12.559999999999993</v>
      </c>
      <c r="W52" s="16">
        <f t="shared" si="20"/>
        <v>-14.129999999999994</v>
      </c>
      <c r="X52" s="16">
        <f t="shared" si="21"/>
        <v>-15.699999999999994</v>
      </c>
      <c r="Y52" s="16">
        <f t="shared" si="22"/>
        <v>-17.269999999999992</v>
      </c>
      <c r="AA52" s="12">
        <f t="shared" si="23"/>
        <v>2.1691666666666638</v>
      </c>
      <c r="AB52" s="12">
        <v>1.57</v>
      </c>
      <c r="AC52" s="12">
        <v>2.1760000000000002</v>
      </c>
      <c r="AD52" s="12">
        <v>-17.491999999999983</v>
      </c>
    </row>
    <row r="53" spans="1:30" ht="13.8" x14ac:dyDescent="0.25">
      <c r="A53" s="1">
        <v>67</v>
      </c>
      <c r="B53" s="4">
        <f t="shared" si="24"/>
        <v>26.284999999999965</v>
      </c>
      <c r="C53" s="4">
        <f t="shared" si="6"/>
        <v>24.094583333333301</v>
      </c>
      <c r="D53" s="4">
        <f t="shared" si="7"/>
        <v>21.904166666666637</v>
      </c>
      <c r="E53" s="4">
        <f t="shared" si="8"/>
        <v>19.713749999999973</v>
      </c>
      <c r="F53" s="4">
        <f t="shared" si="9"/>
        <v>17.523333333333309</v>
      </c>
      <c r="G53" s="4">
        <f t="shared" si="10"/>
        <v>15.332916666666645</v>
      </c>
      <c r="H53" s="4">
        <f t="shared" si="11"/>
        <v>13.142499999999981</v>
      </c>
      <c r="I53" s="16">
        <f t="shared" si="25"/>
        <v>10.952083333333317</v>
      </c>
      <c r="J53" s="16">
        <f t="shared" si="26"/>
        <v>8.7616666666666525</v>
      </c>
      <c r="K53" s="16">
        <f t="shared" si="27"/>
        <v>6.5712499999999885</v>
      </c>
      <c r="L53" s="16">
        <f t="shared" si="28"/>
        <v>4.3808333333333245</v>
      </c>
      <c r="M53" s="16">
        <f t="shared" si="29"/>
        <v>2.1904166666666609</v>
      </c>
      <c r="N53" s="16">
        <f t="shared" si="30"/>
        <v>0</v>
      </c>
      <c r="O53" s="16">
        <f t="shared" si="12"/>
        <v>-1.59</v>
      </c>
      <c r="P53" s="16">
        <f t="shared" si="13"/>
        <v>-3.18</v>
      </c>
      <c r="Q53" s="16">
        <f t="shared" si="14"/>
        <v>-4.7700000000000005</v>
      </c>
      <c r="R53" s="16">
        <f t="shared" si="15"/>
        <v>-6.36</v>
      </c>
      <c r="S53" s="16">
        <f t="shared" si="16"/>
        <v>-7.95</v>
      </c>
      <c r="T53" s="16">
        <f t="shared" si="17"/>
        <v>-9.5400000000000009</v>
      </c>
      <c r="U53" s="16">
        <f t="shared" si="18"/>
        <v>-11.13</v>
      </c>
      <c r="V53" s="16">
        <f t="shared" si="19"/>
        <v>-12.72</v>
      </c>
      <c r="W53" s="16">
        <f t="shared" si="20"/>
        <v>-14.31</v>
      </c>
      <c r="X53" s="16">
        <f t="shared" si="21"/>
        <v>-15.9</v>
      </c>
      <c r="Y53" s="16">
        <f t="shared" si="22"/>
        <v>-17.490000000000002</v>
      </c>
      <c r="AA53" s="12">
        <f t="shared" si="23"/>
        <v>2.1904166666666636</v>
      </c>
      <c r="AB53" s="12">
        <v>1.59</v>
      </c>
      <c r="AC53" s="12">
        <v>2.198</v>
      </c>
      <c r="AD53" s="12">
        <v>-17.668999999999983</v>
      </c>
    </row>
    <row r="54" spans="1:30" ht="13.8" x14ac:dyDescent="0.25">
      <c r="A54" s="1">
        <v>68</v>
      </c>
      <c r="B54" s="4">
        <f t="shared" si="24"/>
        <v>26.539999999999964</v>
      </c>
      <c r="C54" s="4">
        <f t="shared" si="6"/>
        <v>24.328333333333301</v>
      </c>
      <c r="D54" s="4">
        <f t="shared" si="7"/>
        <v>22.116666666666639</v>
      </c>
      <c r="E54" s="4">
        <f t="shared" si="8"/>
        <v>19.904999999999976</v>
      </c>
      <c r="F54" s="4">
        <f t="shared" si="9"/>
        <v>17.693333333333314</v>
      </c>
      <c r="G54" s="4">
        <f t="shared" si="10"/>
        <v>15.48166666666665</v>
      </c>
      <c r="H54" s="4">
        <f t="shared" si="11"/>
        <v>13.269999999999985</v>
      </c>
      <c r="I54" s="16">
        <f t="shared" si="25"/>
        <v>11.058333333333321</v>
      </c>
      <c r="J54" s="16">
        <f t="shared" si="26"/>
        <v>8.8466666666666569</v>
      </c>
      <c r="K54" s="16">
        <f t="shared" si="27"/>
        <v>6.6349999999999927</v>
      </c>
      <c r="L54" s="16">
        <f t="shared" si="28"/>
        <v>4.4233333333333285</v>
      </c>
      <c r="M54" s="16">
        <f t="shared" si="29"/>
        <v>2.2116666666666647</v>
      </c>
      <c r="N54" s="16">
        <f t="shared" si="30"/>
        <v>0</v>
      </c>
      <c r="O54" s="16">
        <f t="shared" si="12"/>
        <v>-1.61</v>
      </c>
      <c r="P54" s="16">
        <f t="shared" si="13"/>
        <v>-3.22</v>
      </c>
      <c r="Q54" s="16">
        <f t="shared" si="14"/>
        <v>-4.83</v>
      </c>
      <c r="R54" s="16">
        <f t="shared" si="15"/>
        <v>-6.44</v>
      </c>
      <c r="S54" s="16">
        <f t="shared" si="16"/>
        <v>-8.0500000000000007</v>
      </c>
      <c r="T54" s="16">
        <f t="shared" si="17"/>
        <v>-9.66</v>
      </c>
      <c r="U54" s="16">
        <f t="shared" si="18"/>
        <v>-11.27</v>
      </c>
      <c r="V54" s="16">
        <f t="shared" si="19"/>
        <v>-12.879999999999999</v>
      </c>
      <c r="W54" s="16">
        <f t="shared" si="20"/>
        <v>-14.489999999999998</v>
      </c>
      <c r="X54" s="16">
        <f t="shared" si="21"/>
        <v>-16.099999999999998</v>
      </c>
      <c r="Y54" s="16">
        <f t="shared" si="22"/>
        <v>-17.709999999999997</v>
      </c>
      <c r="AA54" s="12">
        <f t="shared" si="23"/>
        <v>2.2116666666666638</v>
      </c>
      <c r="AB54" s="12">
        <v>1.61</v>
      </c>
      <c r="AC54" s="12">
        <v>2.2189999999999999</v>
      </c>
      <c r="AD54" s="12">
        <v>-17.845999999999982</v>
      </c>
    </row>
    <row r="55" spans="1:30" ht="13.8" x14ac:dyDescent="0.25">
      <c r="A55" s="1">
        <v>69</v>
      </c>
      <c r="B55" s="4">
        <f t="shared" si="24"/>
        <v>26.794999999999963</v>
      </c>
      <c r="C55" s="4">
        <f t="shared" si="6"/>
        <v>24.562083333333298</v>
      </c>
      <c r="D55" s="4">
        <f t="shared" si="7"/>
        <v>22.329166666666634</v>
      </c>
      <c r="E55" s="4">
        <f t="shared" si="8"/>
        <v>20.096249999999969</v>
      </c>
      <c r="F55" s="4">
        <f t="shared" si="9"/>
        <v>17.863333333333305</v>
      </c>
      <c r="G55" s="4">
        <f t="shared" si="10"/>
        <v>15.63041666666664</v>
      </c>
      <c r="H55" s="4">
        <f t="shared" si="11"/>
        <v>13.397499999999976</v>
      </c>
      <c r="I55" s="16">
        <f t="shared" si="25"/>
        <v>11.164583333333312</v>
      </c>
      <c r="J55" s="16">
        <f t="shared" si="26"/>
        <v>8.9316666666666471</v>
      </c>
      <c r="K55" s="16">
        <f t="shared" si="27"/>
        <v>6.6987499999999836</v>
      </c>
      <c r="L55" s="16">
        <f t="shared" si="28"/>
        <v>4.46583333333332</v>
      </c>
      <c r="M55" s="16">
        <f t="shared" si="29"/>
        <v>2.2329166666666564</v>
      </c>
      <c r="N55" s="16">
        <f t="shared" si="30"/>
        <v>-7.1054273576010019E-15</v>
      </c>
      <c r="O55" s="16">
        <f t="shared" si="12"/>
        <v>-1.630000000000007</v>
      </c>
      <c r="P55" s="16">
        <f t="shared" si="13"/>
        <v>-3.2600000000000069</v>
      </c>
      <c r="Q55" s="16">
        <f t="shared" si="14"/>
        <v>-4.8900000000000068</v>
      </c>
      <c r="R55" s="16">
        <f t="shared" si="15"/>
        <v>-6.5200000000000067</v>
      </c>
      <c r="S55" s="16">
        <f t="shared" si="16"/>
        <v>-8.1500000000000057</v>
      </c>
      <c r="T55" s="16">
        <f t="shared" si="17"/>
        <v>-9.7800000000000047</v>
      </c>
      <c r="U55" s="16">
        <f t="shared" si="18"/>
        <v>-11.410000000000004</v>
      </c>
      <c r="V55" s="16">
        <f t="shared" si="19"/>
        <v>-13.040000000000003</v>
      </c>
      <c r="W55" s="16">
        <f t="shared" si="20"/>
        <v>-14.670000000000002</v>
      </c>
      <c r="X55" s="16">
        <f t="shared" si="21"/>
        <v>-16.3</v>
      </c>
      <c r="Y55" s="16">
        <f t="shared" si="22"/>
        <v>-17.93</v>
      </c>
      <c r="AA55" s="12">
        <f t="shared" si="23"/>
        <v>2.2329166666666636</v>
      </c>
      <c r="AB55" s="12">
        <v>1.63</v>
      </c>
      <c r="AC55" s="12">
        <v>2.2410000000000001</v>
      </c>
      <c r="AD55" s="12">
        <v>-18.022999999999982</v>
      </c>
    </row>
    <row r="56" spans="1:30" ht="13.8" x14ac:dyDescent="0.25">
      <c r="A56" s="5">
        <v>70</v>
      </c>
      <c r="B56" s="6">
        <f t="shared" si="24"/>
        <v>27.049999999999962</v>
      </c>
      <c r="C56" s="6">
        <f t="shared" si="6"/>
        <v>24.795833333333299</v>
      </c>
      <c r="D56" s="6">
        <f t="shared" si="7"/>
        <v>22.541666666666636</v>
      </c>
      <c r="E56" s="6">
        <f t="shared" si="8"/>
        <v>20.287499999999973</v>
      </c>
      <c r="F56" s="6">
        <f t="shared" si="9"/>
        <v>18.03333333333331</v>
      </c>
      <c r="G56" s="6">
        <f t="shared" si="10"/>
        <v>15.779166666666647</v>
      </c>
      <c r="H56" s="6">
        <f t="shared" si="11"/>
        <v>13.524999999999984</v>
      </c>
      <c r="I56" s="17">
        <f t="shared" si="25"/>
        <v>11.270833333333321</v>
      </c>
      <c r="J56" s="17">
        <f t="shared" si="26"/>
        <v>9.0166666666666586</v>
      </c>
      <c r="K56" s="17">
        <f t="shared" si="27"/>
        <v>6.7624999999999957</v>
      </c>
      <c r="L56" s="17">
        <f t="shared" si="28"/>
        <v>4.5083333333333329</v>
      </c>
      <c r="M56" s="17">
        <f t="shared" si="29"/>
        <v>2.2541666666666695</v>
      </c>
      <c r="N56" s="17">
        <f t="shared" si="30"/>
        <v>6.2172489379008766E-15</v>
      </c>
      <c r="O56" s="17">
        <f t="shared" si="12"/>
        <v>-1.6545454545454483</v>
      </c>
      <c r="P56" s="17">
        <f t="shared" si="13"/>
        <v>-3.3090909090909029</v>
      </c>
      <c r="Q56" s="17">
        <f t="shared" si="14"/>
        <v>-4.9636363636363576</v>
      </c>
      <c r="R56" s="17">
        <f t="shared" si="15"/>
        <v>-6.6181818181818119</v>
      </c>
      <c r="S56" s="17">
        <f t="shared" si="16"/>
        <v>-8.2727272727272663</v>
      </c>
      <c r="T56" s="17">
        <f t="shared" si="17"/>
        <v>-9.9272727272727206</v>
      </c>
      <c r="U56" s="17">
        <f t="shared" si="18"/>
        <v>-11.581818181818175</v>
      </c>
      <c r="V56" s="17">
        <f t="shared" si="19"/>
        <v>-13.236363636363629</v>
      </c>
      <c r="W56" s="17">
        <f t="shared" si="20"/>
        <v>-14.890909090909084</v>
      </c>
      <c r="X56" s="17">
        <f t="shared" si="21"/>
        <v>-16.54545454545454</v>
      </c>
      <c r="Y56" s="17">
        <f t="shared" si="22"/>
        <v>-18.199999999999996</v>
      </c>
      <c r="Z56" s="15"/>
      <c r="AA56" s="26">
        <f t="shared" si="23"/>
        <v>2.2541666666666633</v>
      </c>
      <c r="AB56" s="26">
        <f>18.2/11</f>
        <v>1.6545454545454545</v>
      </c>
      <c r="AC56" s="26">
        <v>2.2629999999999999</v>
      </c>
      <c r="AD56" s="26">
        <v>-18.199999999999982</v>
      </c>
    </row>
    <row r="57" spans="1:30" s="21" customFormat="1" ht="15.6" x14ac:dyDescent="0.3">
      <c r="A57" s="18">
        <v>71</v>
      </c>
      <c r="B57" s="19">
        <v>26.8</v>
      </c>
      <c r="C57" s="19">
        <f t="shared" si="6"/>
        <v>24.57</v>
      </c>
      <c r="D57" s="19">
        <f t="shared" si="7"/>
        <v>22.34</v>
      </c>
      <c r="E57" s="19">
        <f t="shared" si="8"/>
        <v>20.11</v>
      </c>
      <c r="F57" s="19">
        <f t="shared" si="9"/>
        <v>17.88</v>
      </c>
      <c r="G57" s="19">
        <f t="shared" si="10"/>
        <v>15.649999999999999</v>
      </c>
      <c r="H57" s="19">
        <f t="shared" si="11"/>
        <v>13.419999999999998</v>
      </c>
      <c r="I57" s="19">
        <f t="shared" si="25"/>
        <v>11.189999999999998</v>
      </c>
      <c r="J57" s="19">
        <f t="shared" si="26"/>
        <v>8.9599999999999973</v>
      </c>
      <c r="K57" s="19">
        <f t="shared" si="27"/>
        <v>6.7299999999999969</v>
      </c>
      <c r="L57" s="19">
        <f t="shared" si="28"/>
        <v>4.4999999999999964</v>
      </c>
      <c r="M57" s="19">
        <f t="shared" si="29"/>
        <v>2.2699999999999965</v>
      </c>
      <c r="N57" s="19">
        <f t="shared" si="30"/>
        <v>3.9999999999996483E-2</v>
      </c>
      <c r="O57" s="19">
        <f t="shared" si="12"/>
        <v>-1.5900000000000034</v>
      </c>
      <c r="P57" s="19">
        <f t="shared" si="13"/>
        <v>-3.2200000000000033</v>
      </c>
      <c r="Q57" s="19">
        <f t="shared" si="14"/>
        <v>-4.8500000000000032</v>
      </c>
      <c r="R57" s="19">
        <f t="shared" si="15"/>
        <v>-6.4800000000000031</v>
      </c>
      <c r="S57" s="19">
        <f t="shared" si="16"/>
        <v>-8.110000000000003</v>
      </c>
      <c r="T57" s="19">
        <f t="shared" si="17"/>
        <v>-9.740000000000002</v>
      </c>
      <c r="U57" s="19">
        <f t="shared" si="18"/>
        <v>-11.370000000000001</v>
      </c>
      <c r="V57" s="19">
        <f t="shared" si="19"/>
        <v>-13</v>
      </c>
      <c r="W57" s="19">
        <f t="shared" si="20"/>
        <v>-14.629999999999999</v>
      </c>
      <c r="X57" s="19">
        <f t="shared" si="21"/>
        <v>-16.259999999999998</v>
      </c>
      <c r="Y57" s="19">
        <f t="shared" si="22"/>
        <v>-17.889999999999997</v>
      </c>
      <c r="Z57" s="20"/>
      <c r="AA57" s="27">
        <v>2.23</v>
      </c>
      <c r="AB57" s="27">
        <v>1.63</v>
      </c>
      <c r="AC57" s="27"/>
      <c r="AD57" s="27"/>
    </row>
    <row r="58" spans="1:30" s="21" customFormat="1" ht="15.6" x14ac:dyDescent="0.3">
      <c r="A58" s="18">
        <v>72</v>
      </c>
      <c r="B58" s="19">
        <v>26.5</v>
      </c>
      <c r="C58" s="19">
        <f t="shared" si="6"/>
        <v>24.29</v>
      </c>
      <c r="D58" s="19">
        <f t="shared" si="7"/>
        <v>22.08</v>
      </c>
      <c r="E58" s="19">
        <f t="shared" si="8"/>
        <v>19.869999999999997</v>
      </c>
      <c r="F58" s="19">
        <f t="shared" si="9"/>
        <v>17.659999999999997</v>
      </c>
      <c r="G58" s="19">
        <f t="shared" si="10"/>
        <v>15.449999999999996</v>
      </c>
      <c r="H58" s="19">
        <f t="shared" si="11"/>
        <v>13.239999999999995</v>
      </c>
      <c r="I58" s="19">
        <f t="shared" si="25"/>
        <v>11.029999999999994</v>
      </c>
      <c r="J58" s="19">
        <f t="shared" si="26"/>
        <v>8.8199999999999932</v>
      </c>
      <c r="K58" s="19">
        <f t="shared" si="27"/>
        <v>6.6099999999999932</v>
      </c>
      <c r="L58" s="19">
        <f t="shared" si="28"/>
        <v>4.3999999999999932</v>
      </c>
      <c r="M58" s="19">
        <f t="shared" si="29"/>
        <v>2.1899999999999933</v>
      </c>
      <c r="N58" s="19">
        <f t="shared" si="30"/>
        <v>-2.0000000000006679E-2</v>
      </c>
      <c r="O58" s="19">
        <f t="shared" si="12"/>
        <v>-1.6300000000000068</v>
      </c>
      <c r="P58" s="19">
        <f t="shared" si="13"/>
        <v>-3.2400000000000069</v>
      </c>
      <c r="Q58" s="19">
        <f t="shared" si="14"/>
        <v>-4.8500000000000068</v>
      </c>
      <c r="R58" s="19">
        <f t="shared" si="15"/>
        <v>-6.4600000000000071</v>
      </c>
      <c r="S58" s="19">
        <f t="shared" si="16"/>
        <v>-8.0700000000000074</v>
      </c>
      <c r="T58" s="19">
        <f t="shared" si="17"/>
        <v>-9.6800000000000068</v>
      </c>
      <c r="U58" s="19">
        <f t="shared" si="18"/>
        <v>-11.290000000000006</v>
      </c>
      <c r="V58" s="19">
        <f t="shared" si="19"/>
        <v>-12.900000000000006</v>
      </c>
      <c r="W58" s="19">
        <f t="shared" si="20"/>
        <v>-14.510000000000005</v>
      </c>
      <c r="X58" s="19">
        <f t="shared" si="21"/>
        <v>-16.120000000000005</v>
      </c>
      <c r="Y58" s="19">
        <f t="shared" si="22"/>
        <v>-17.730000000000004</v>
      </c>
      <c r="Z58" s="20"/>
      <c r="AA58" s="27">
        <v>2.21</v>
      </c>
      <c r="AB58" s="27">
        <v>1.61</v>
      </c>
      <c r="AC58" s="27"/>
      <c r="AD58" s="27"/>
    </row>
    <row r="59" spans="1:30" s="21" customFormat="1" ht="15.6" x14ac:dyDescent="0.3">
      <c r="A59" s="18">
        <v>73</v>
      </c>
      <c r="B59" s="19">
        <v>26.3</v>
      </c>
      <c r="C59" s="19">
        <f t="shared" si="6"/>
        <v>24.11</v>
      </c>
      <c r="D59" s="19">
        <f t="shared" si="7"/>
        <v>21.919999999999998</v>
      </c>
      <c r="E59" s="19">
        <f t="shared" si="8"/>
        <v>19.729999999999997</v>
      </c>
      <c r="F59" s="19">
        <f t="shared" si="9"/>
        <v>17.539999999999996</v>
      </c>
      <c r="G59" s="19">
        <f t="shared" si="10"/>
        <v>15.349999999999996</v>
      </c>
      <c r="H59" s="19">
        <f t="shared" si="11"/>
        <v>13.159999999999997</v>
      </c>
      <c r="I59" s="19">
        <f t="shared" si="25"/>
        <v>10.969999999999997</v>
      </c>
      <c r="J59" s="19">
        <f t="shared" si="26"/>
        <v>8.7799999999999976</v>
      </c>
      <c r="K59" s="19">
        <f t="shared" si="27"/>
        <v>6.5899999999999981</v>
      </c>
      <c r="L59" s="19">
        <f t="shared" si="28"/>
        <v>4.3999999999999986</v>
      </c>
      <c r="M59" s="19">
        <f t="shared" si="29"/>
        <v>2.2099999999999986</v>
      </c>
      <c r="N59" s="19">
        <f t="shared" si="30"/>
        <v>1.9999999999998685E-2</v>
      </c>
      <c r="O59" s="19">
        <f t="shared" si="12"/>
        <v>-1.5700000000000014</v>
      </c>
      <c r="P59" s="19">
        <f t="shared" si="13"/>
        <v>-3.1600000000000015</v>
      </c>
      <c r="Q59" s="19">
        <f t="shared" si="14"/>
        <v>-4.7500000000000018</v>
      </c>
      <c r="R59" s="19">
        <f t="shared" si="15"/>
        <v>-6.3400000000000016</v>
      </c>
      <c r="S59" s="19">
        <f t="shared" si="16"/>
        <v>-7.9300000000000015</v>
      </c>
      <c r="T59" s="19">
        <f t="shared" si="17"/>
        <v>-9.5200000000000014</v>
      </c>
      <c r="U59" s="19">
        <f t="shared" si="18"/>
        <v>-11.110000000000001</v>
      </c>
      <c r="V59" s="19">
        <f t="shared" si="19"/>
        <v>-12.700000000000001</v>
      </c>
      <c r="W59" s="19">
        <f t="shared" si="20"/>
        <v>-14.290000000000001</v>
      </c>
      <c r="X59" s="19">
        <f t="shared" si="21"/>
        <v>-15.88</v>
      </c>
      <c r="Y59" s="19">
        <f t="shared" si="22"/>
        <v>-17.470000000000002</v>
      </c>
      <c r="Z59" s="20"/>
      <c r="AA59" s="27">
        <v>2.19</v>
      </c>
      <c r="AB59" s="27">
        <v>1.59</v>
      </c>
      <c r="AC59" s="27"/>
      <c r="AD59" s="27"/>
    </row>
    <row r="60" spans="1:30" s="21" customFormat="1" ht="15.6" x14ac:dyDescent="0.3">
      <c r="A60" s="18">
        <v>74</v>
      </c>
      <c r="B60" s="19">
        <v>26</v>
      </c>
      <c r="C60" s="19">
        <f t="shared" si="6"/>
        <v>23.83</v>
      </c>
      <c r="D60" s="19">
        <f t="shared" si="7"/>
        <v>21.659999999999997</v>
      </c>
      <c r="E60" s="19">
        <f t="shared" si="8"/>
        <v>19.489999999999995</v>
      </c>
      <c r="F60" s="19">
        <f t="shared" si="9"/>
        <v>17.319999999999993</v>
      </c>
      <c r="G60" s="19">
        <f t="shared" si="10"/>
        <v>15.149999999999993</v>
      </c>
      <c r="H60" s="19">
        <f t="shared" si="11"/>
        <v>12.979999999999993</v>
      </c>
      <c r="I60" s="19">
        <f t="shared" si="25"/>
        <v>10.809999999999993</v>
      </c>
      <c r="J60" s="19">
        <f t="shared" si="26"/>
        <v>8.6399999999999935</v>
      </c>
      <c r="K60" s="19">
        <f t="shared" si="27"/>
        <v>6.4699999999999935</v>
      </c>
      <c r="L60" s="19">
        <f t="shared" si="28"/>
        <v>4.2999999999999936</v>
      </c>
      <c r="M60" s="19">
        <f t="shared" si="29"/>
        <v>2.1299999999999937</v>
      </c>
      <c r="N60" s="19">
        <f t="shared" si="30"/>
        <v>-4.0000000000006253E-2</v>
      </c>
      <c r="O60" s="19">
        <f t="shared" si="12"/>
        <v>-1.6100000000000063</v>
      </c>
      <c r="P60" s="19">
        <f t="shared" si="13"/>
        <v>-3.1800000000000064</v>
      </c>
      <c r="Q60" s="19">
        <f t="shared" si="14"/>
        <v>-4.7500000000000062</v>
      </c>
      <c r="R60" s="19">
        <f t="shared" si="15"/>
        <v>-6.3200000000000065</v>
      </c>
      <c r="S60" s="19">
        <f t="shared" si="16"/>
        <v>-7.8900000000000068</v>
      </c>
      <c r="T60" s="19">
        <f t="shared" si="17"/>
        <v>-9.4600000000000062</v>
      </c>
      <c r="U60" s="19">
        <f t="shared" si="18"/>
        <v>-11.030000000000006</v>
      </c>
      <c r="V60" s="19">
        <f t="shared" si="19"/>
        <v>-12.600000000000007</v>
      </c>
      <c r="W60" s="19">
        <f t="shared" si="20"/>
        <v>-14.170000000000007</v>
      </c>
      <c r="X60" s="19">
        <f t="shared" si="21"/>
        <v>-15.740000000000007</v>
      </c>
      <c r="Y60" s="19">
        <f t="shared" si="22"/>
        <v>-17.310000000000006</v>
      </c>
      <c r="Z60" s="20"/>
      <c r="AA60" s="27">
        <v>2.17</v>
      </c>
      <c r="AB60" s="27">
        <v>1.57</v>
      </c>
      <c r="AC60" s="27"/>
      <c r="AD60" s="27"/>
    </row>
    <row r="61" spans="1:30" s="21" customFormat="1" ht="15.6" x14ac:dyDescent="0.3">
      <c r="A61" s="18">
        <v>75</v>
      </c>
      <c r="B61" s="19">
        <v>25.8</v>
      </c>
      <c r="C61" s="19">
        <f t="shared" si="6"/>
        <v>23.650000000000002</v>
      </c>
      <c r="D61" s="19">
        <f t="shared" si="7"/>
        <v>21.500000000000004</v>
      </c>
      <c r="E61" s="19">
        <f t="shared" si="8"/>
        <v>19.350000000000005</v>
      </c>
      <c r="F61" s="19">
        <f t="shared" si="9"/>
        <v>17.200000000000006</v>
      </c>
      <c r="G61" s="19">
        <f t="shared" si="10"/>
        <v>15.050000000000006</v>
      </c>
      <c r="H61" s="19">
        <f t="shared" si="11"/>
        <v>12.900000000000006</v>
      </c>
      <c r="I61" s="19">
        <f t="shared" si="25"/>
        <v>10.750000000000005</v>
      </c>
      <c r="J61" s="19">
        <f t="shared" si="26"/>
        <v>8.600000000000005</v>
      </c>
      <c r="K61" s="19">
        <f t="shared" si="27"/>
        <v>6.4500000000000046</v>
      </c>
      <c r="L61" s="19">
        <f t="shared" si="28"/>
        <v>4.3000000000000043</v>
      </c>
      <c r="M61" s="19">
        <f t="shared" si="29"/>
        <v>2.1500000000000044</v>
      </c>
      <c r="N61" s="19">
        <f t="shared" si="30"/>
        <v>4.4408920985006262E-15</v>
      </c>
      <c r="O61" s="19">
        <f t="shared" si="12"/>
        <v>-1.5499999999999956</v>
      </c>
      <c r="P61" s="19">
        <f t="shared" si="13"/>
        <v>-3.0999999999999956</v>
      </c>
      <c r="Q61" s="19">
        <f t="shared" si="14"/>
        <v>-4.6499999999999959</v>
      </c>
      <c r="R61" s="19">
        <f t="shared" si="15"/>
        <v>-6.1999999999999957</v>
      </c>
      <c r="S61" s="19">
        <f t="shared" si="16"/>
        <v>-7.7499999999999956</v>
      </c>
      <c r="T61" s="19">
        <f t="shared" si="17"/>
        <v>-9.2999999999999954</v>
      </c>
      <c r="U61" s="19">
        <f t="shared" si="18"/>
        <v>-10.849999999999996</v>
      </c>
      <c r="V61" s="19">
        <f t="shared" si="19"/>
        <v>-12.399999999999997</v>
      </c>
      <c r="W61" s="19">
        <f t="shared" si="20"/>
        <v>-13.949999999999998</v>
      </c>
      <c r="X61" s="19">
        <f t="shared" si="21"/>
        <v>-15.499999999999998</v>
      </c>
      <c r="Y61" s="19">
        <f t="shared" si="22"/>
        <v>-17.049999999999997</v>
      </c>
      <c r="Z61" s="20"/>
      <c r="AA61" s="27">
        <v>2.15</v>
      </c>
      <c r="AB61" s="27">
        <v>1.55</v>
      </c>
      <c r="AC61" s="27"/>
      <c r="AD61" s="27"/>
    </row>
    <row r="62" spans="1:30" s="21" customFormat="1" ht="15.6" x14ac:dyDescent="0.3">
      <c r="A62" s="18">
        <v>76</v>
      </c>
      <c r="B62" s="19">
        <v>25.5</v>
      </c>
      <c r="C62" s="19">
        <f t="shared" si="6"/>
        <v>23.37</v>
      </c>
      <c r="D62" s="19">
        <f t="shared" si="7"/>
        <v>21.240000000000002</v>
      </c>
      <c r="E62" s="19">
        <f t="shared" si="8"/>
        <v>19.110000000000003</v>
      </c>
      <c r="F62" s="19">
        <f t="shared" si="9"/>
        <v>16.980000000000004</v>
      </c>
      <c r="G62" s="19">
        <f t="shared" si="10"/>
        <v>14.850000000000005</v>
      </c>
      <c r="H62" s="19">
        <f t="shared" si="11"/>
        <v>12.720000000000006</v>
      </c>
      <c r="I62" s="19">
        <f t="shared" si="25"/>
        <v>10.590000000000007</v>
      </c>
      <c r="J62" s="19">
        <f t="shared" si="26"/>
        <v>8.460000000000008</v>
      </c>
      <c r="K62" s="19">
        <f t="shared" si="27"/>
        <v>6.3300000000000081</v>
      </c>
      <c r="L62" s="19">
        <f t="shared" si="28"/>
        <v>4.2000000000000082</v>
      </c>
      <c r="M62" s="19">
        <f t="shared" si="29"/>
        <v>2.0700000000000083</v>
      </c>
      <c r="N62" s="19">
        <f t="shared" si="30"/>
        <v>-5.9999999999991616E-2</v>
      </c>
      <c r="O62" s="19">
        <f t="shared" si="12"/>
        <v>-1.5899999999999916</v>
      </c>
      <c r="P62" s="19">
        <f t="shared" si="13"/>
        <v>-3.1199999999999917</v>
      </c>
      <c r="Q62" s="19">
        <f t="shared" si="14"/>
        <v>-4.6499999999999915</v>
      </c>
      <c r="R62" s="19">
        <f t="shared" si="15"/>
        <v>-6.1799999999999917</v>
      </c>
      <c r="S62" s="19">
        <f t="shared" si="16"/>
        <v>-7.709999999999992</v>
      </c>
      <c r="T62" s="19">
        <f t="shared" si="17"/>
        <v>-9.2399999999999913</v>
      </c>
      <c r="U62" s="19">
        <f t="shared" si="18"/>
        <v>-10.769999999999991</v>
      </c>
      <c r="V62" s="19">
        <f t="shared" si="19"/>
        <v>-12.29999999999999</v>
      </c>
      <c r="W62" s="19">
        <f t="shared" si="20"/>
        <v>-13.829999999999989</v>
      </c>
      <c r="X62" s="19">
        <f t="shared" si="21"/>
        <v>-15.359999999999989</v>
      </c>
      <c r="Y62" s="19">
        <f t="shared" si="22"/>
        <v>-16.88999999999999</v>
      </c>
      <c r="Z62" s="20"/>
      <c r="AA62" s="27">
        <v>2.13</v>
      </c>
      <c r="AB62" s="27">
        <v>1.53</v>
      </c>
      <c r="AC62" s="27"/>
      <c r="AD62" s="27"/>
    </row>
    <row r="63" spans="1:30" s="21" customFormat="1" ht="15.6" x14ac:dyDescent="0.3">
      <c r="A63" s="18">
        <v>77</v>
      </c>
      <c r="B63" s="19">
        <v>25.3</v>
      </c>
      <c r="C63" s="19">
        <f t="shared" si="6"/>
        <v>23.19</v>
      </c>
      <c r="D63" s="19">
        <f t="shared" si="7"/>
        <v>21.080000000000002</v>
      </c>
      <c r="E63" s="19">
        <f t="shared" si="8"/>
        <v>18.970000000000002</v>
      </c>
      <c r="F63" s="19">
        <f t="shared" si="9"/>
        <v>16.860000000000003</v>
      </c>
      <c r="G63" s="19">
        <f t="shared" si="10"/>
        <v>14.750000000000004</v>
      </c>
      <c r="H63" s="19">
        <f t="shared" si="11"/>
        <v>12.640000000000004</v>
      </c>
      <c r="I63" s="19">
        <f t="shared" si="25"/>
        <v>10.530000000000005</v>
      </c>
      <c r="J63" s="19">
        <f t="shared" si="26"/>
        <v>8.4200000000000053</v>
      </c>
      <c r="K63" s="19">
        <f t="shared" si="27"/>
        <v>6.3100000000000058</v>
      </c>
      <c r="L63" s="19">
        <f t="shared" si="28"/>
        <v>4.2000000000000064</v>
      </c>
      <c r="M63" s="19">
        <f t="shared" si="29"/>
        <v>2.0900000000000065</v>
      </c>
      <c r="N63" s="19">
        <f t="shared" si="30"/>
        <v>-1.9999999999993356E-2</v>
      </c>
      <c r="O63" s="19">
        <f t="shared" si="12"/>
        <v>-1.5299999999999934</v>
      </c>
      <c r="P63" s="19">
        <f t="shared" si="13"/>
        <v>-3.0399999999999934</v>
      </c>
      <c r="Q63" s="19">
        <f t="shared" si="14"/>
        <v>-4.5499999999999936</v>
      </c>
      <c r="R63" s="19">
        <f t="shared" si="15"/>
        <v>-6.0599999999999934</v>
      </c>
      <c r="S63" s="19">
        <f t="shared" si="16"/>
        <v>-7.5699999999999932</v>
      </c>
      <c r="T63" s="19">
        <f t="shared" si="17"/>
        <v>-9.079999999999993</v>
      </c>
      <c r="U63" s="19">
        <f t="shared" si="18"/>
        <v>-10.589999999999993</v>
      </c>
      <c r="V63" s="19">
        <f t="shared" si="19"/>
        <v>-12.099999999999993</v>
      </c>
      <c r="W63" s="19">
        <f t="shared" si="20"/>
        <v>-13.609999999999992</v>
      </c>
      <c r="X63" s="19">
        <f t="shared" si="21"/>
        <v>-15.119999999999992</v>
      </c>
      <c r="Y63" s="19">
        <f t="shared" si="22"/>
        <v>-16.629999999999992</v>
      </c>
      <c r="Z63" s="20"/>
      <c r="AA63" s="27">
        <v>2.11</v>
      </c>
      <c r="AB63" s="27">
        <v>1.51</v>
      </c>
      <c r="AC63" s="27"/>
      <c r="AD63" s="27"/>
    </row>
    <row r="64" spans="1:30" s="21" customFormat="1" ht="15.6" x14ac:dyDescent="0.3">
      <c r="A64" s="18">
        <v>78</v>
      </c>
      <c r="B64" s="19">
        <v>25</v>
      </c>
      <c r="C64" s="19">
        <f t="shared" si="6"/>
        <v>22.92</v>
      </c>
      <c r="D64" s="19">
        <f t="shared" si="7"/>
        <v>20.840000000000003</v>
      </c>
      <c r="E64" s="19">
        <f t="shared" si="8"/>
        <v>18.760000000000005</v>
      </c>
      <c r="F64" s="19">
        <f t="shared" si="9"/>
        <v>16.680000000000007</v>
      </c>
      <c r="G64" s="19">
        <f t="shared" si="10"/>
        <v>14.600000000000007</v>
      </c>
      <c r="H64" s="19">
        <f t="shared" si="11"/>
        <v>12.520000000000007</v>
      </c>
      <c r="I64" s="19">
        <f t="shared" si="25"/>
        <v>10.440000000000007</v>
      </c>
      <c r="J64" s="19">
        <f t="shared" si="26"/>
        <v>8.3600000000000065</v>
      </c>
      <c r="K64" s="19">
        <f t="shared" si="27"/>
        <v>6.2800000000000065</v>
      </c>
      <c r="L64" s="19">
        <f t="shared" si="28"/>
        <v>4.2000000000000064</v>
      </c>
      <c r="M64" s="19">
        <f t="shared" si="29"/>
        <v>2.1200000000000063</v>
      </c>
      <c r="N64" s="19">
        <f t="shared" si="30"/>
        <v>4.0000000000006253E-2</v>
      </c>
      <c r="O64" s="19">
        <f t="shared" si="12"/>
        <v>-1.4499999999999937</v>
      </c>
      <c r="P64" s="19">
        <f t="shared" si="13"/>
        <v>-2.9399999999999937</v>
      </c>
      <c r="Q64" s="19">
        <f t="shared" si="14"/>
        <v>-4.4299999999999935</v>
      </c>
      <c r="R64" s="19">
        <f t="shared" si="15"/>
        <v>-5.9199999999999937</v>
      </c>
      <c r="S64" s="19">
        <f t="shared" si="16"/>
        <v>-7.4099999999999939</v>
      </c>
      <c r="T64" s="19">
        <f t="shared" si="17"/>
        <v>-8.8999999999999932</v>
      </c>
      <c r="U64" s="19">
        <f t="shared" si="18"/>
        <v>-10.389999999999993</v>
      </c>
      <c r="V64" s="19">
        <f t="shared" si="19"/>
        <v>-11.879999999999994</v>
      </c>
      <c r="W64" s="19">
        <f t="shared" si="20"/>
        <v>-13.369999999999994</v>
      </c>
      <c r="X64" s="19">
        <f t="shared" si="21"/>
        <v>-14.859999999999994</v>
      </c>
      <c r="Y64" s="19">
        <f t="shared" si="22"/>
        <v>-16.349999999999994</v>
      </c>
      <c r="Z64" s="20"/>
      <c r="AA64" s="27">
        <v>2.08</v>
      </c>
      <c r="AB64" s="27">
        <v>1.49</v>
      </c>
      <c r="AC64" s="27"/>
      <c r="AD64" s="27"/>
    </row>
    <row r="65" spans="1:30" s="21" customFormat="1" ht="15.6" x14ac:dyDescent="0.3">
      <c r="A65" s="18">
        <v>79</v>
      </c>
      <c r="B65" s="19">
        <v>24.8</v>
      </c>
      <c r="C65" s="19">
        <f t="shared" si="6"/>
        <v>22.740000000000002</v>
      </c>
      <c r="D65" s="19">
        <f t="shared" si="7"/>
        <v>20.680000000000003</v>
      </c>
      <c r="E65" s="19">
        <f t="shared" si="8"/>
        <v>18.620000000000005</v>
      </c>
      <c r="F65" s="19">
        <f t="shared" si="9"/>
        <v>16.560000000000006</v>
      </c>
      <c r="G65" s="19">
        <f t="shared" si="10"/>
        <v>14.500000000000005</v>
      </c>
      <c r="H65" s="19">
        <f t="shared" si="11"/>
        <v>12.440000000000005</v>
      </c>
      <c r="I65" s="19">
        <f t="shared" si="25"/>
        <v>10.380000000000004</v>
      </c>
      <c r="J65" s="19">
        <f t="shared" si="26"/>
        <v>8.3200000000000038</v>
      </c>
      <c r="K65" s="19">
        <f t="shared" si="27"/>
        <v>6.2600000000000033</v>
      </c>
      <c r="L65" s="19">
        <f t="shared" si="28"/>
        <v>4.2000000000000028</v>
      </c>
      <c r="M65" s="19">
        <f t="shared" si="29"/>
        <v>2.1400000000000028</v>
      </c>
      <c r="N65" s="19">
        <f t="shared" si="30"/>
        <v>8.0000000000002736E-2</v>
      </c>
      <c r="O65" s="19">
        <f t="shared" si="12"/>
        <v>-1.3899999999999972</v>
      </c>
      <c r="P65" s="19">
        <f t="shared" si="13"/>
        <v>-2.8599999999999972</v>
      </c>
      <c r="Q65" s="19">
        <f t="shared" si="14"/>
        <v>-4.3299999999999974</v>
      </c>
      <c r="R65" s="19">
        <f t="shared" si="15"/>
        <v>-5.7999999999999972</v>
      </c>
      <c r="S65" s="19">
        <f t="shared" si="16"/>
        <v>-7.2699999999999969</v>
      </c>
      <c r="T65" s="19">
        <f t="shared" si="17"/>
        <v>-8.7399999999999967</v>
      </c>
      <c r="U65" s="19">
        <f t="shared" si="18"/>
        <v>-10.209999999999997</v>
      </c>
      <c r="V65" s="19">
        <f t="shared" si="19"/>
        <v>-11.679999999999998</v>
      </c>
      <c r="W65" s="19">
        <f t="shared" si="20"/>
        <v>-13.149999999999999</v>
      </c>
      <c r="X65" s="19">
        <f t="shared" si="21"/>
        <v>-14.62</v>
      </c>
      <c r="Y65" s="19">
        <f t="shared" si="22"/>
        <v>-16.09</v>
      </c>
      <c r="Z65" s="20"/>
      <c r="AA65" s="27">
        <v>2.06</v>
      </c>
      <c r="AB65" s="27">
        <v>1.47</v>
      </c>
      <c r="AC65" s="27"/>
      <c r="AD65" s="27"/>
    </row>
    <row r="66" spans="1:30" s="21" customFormat="1" ht="15.6" x14ac:dyDescent="0.3">
      <c r="A66" s="22">
        <v>80</v>
      </c>
      <c r="B66" s="23">
        <v>24.5</v>
      </c>
      <c r="C66" s="23">
        <f t="shared" si="6"/>
        <v>22.48</v>
      </c>
      <c r="D66" s="23">
        <f t="shared" si="7"/>
        <v>20.46</v>
      </c>
      <c r="E66" s="23">
        <f t="shared" si="8"/>
        <v>18.440000000000001</v>
      </c>
      <c r="F66" s="23">
        <f t="shared" si="9"/>
        <v>16.420000000000002</v>
      </c>
      <c r="G66" s="23">
        <f t="shared" si="10"/>
        <v>14.400000000000002</v>
      </c>
      <c r="H66" s="23">
        <f t="shared" si="11"/>
        <v>12.380000000000003</v>
      </c>
      <c r="I66" s="23">
        <f t="shared" si="25"/>
        <v>10.360000000000003</v>
      </c>
      <c r="J66" s="23">
        <f t="shared" si="26"/>
        <v>8.3400000000000034</v>
      </c>
      <c r="K66" s="23">
        <f t="shared" si="27"/>
        <v>6.3200000000000038</v>
      </c>
      <c r="L66" s="23">
        <f t="shared" si="28"/>
        <v>4.3000000000000043</v>
      </c>
      <c r="M66" s="23">
        <f t="shared" si="29"/>
        <v>2.2800000000000042</v>
      </c>
      <c r="N66" s="23">
        <f t="shared" si="30"/>
        <v>0.26000000000000423</v>
      </c>
      <c r="O66" s="23">
        <f t="shared" si="12"/>
        <v>-1.1899999999999957</v>
      </c>
      <c r="P66" s="23">
        <f t="shared" si="13"/>
        <v>-2.6399999999999957</v>
      </c>
      <c r="Q66" s="23">
        <f t="shared" si="14"/>
        <v>-4.0899999999999954</v>
      </c>
      <c r="R66" s="23">
        <f t="shared" si="15"/>
        <v>-5.5399999999999956</v>
      </c>
      <c r="S66" s="23">
        <f t="shared" si="16"/>
        <v>-6.9899999999999958</v>
      </c>
      <c r="T66" s="23">
        <f t="shared" si="17"/>
        <v>-8.4399999999999959</v>
      </c>
      <c r="U66" s="23">
        <f t="shared" si="18"/>
        <v>-9.8899999999999952</v>
      </c>
      <c r="V66" s="23">
        <f t="shared" si="19"/>
        <v>-11.339999999999995</v>
      </c>
      <c r="W66" s="23">
        <f t="shared" si="20"/>
        <v>-12.789999999999994</v>
      </c>
      <c r="X66" s="23">
        <f t="shared" si="21"/>
        <v>-14.239999999999993</v>
      </c>
      <c r="Y66" s="23">
        <f t="shared" si="22"/>
        <v>-15.689999999999992</v>
      </c>
      <c r="Z66" s="20"/>
      <c r="AA66" s="27">
        <v>2.02</v>
      </c>
      <c r="AB66" s="27">
        <v>1.45</v>
      </c>
      <c r="AC66" s="27"/>
      <c r="AD66" s="27"/>
    </row>
    <row r="67" spans="1:30" x14ac:dyDescent="0.25">
      <c r="AB67" s="12"/>
    </row>
  </sheetData>
  <phoneticPr fontId="1" type="noConversion"/>
  <pageMargins left="0.25" right="0.25" top="0.75" bottom="0.75" header="0.3" footer="0.3"/>
  <pageSetup paperSize="9" scale="49"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Health Expo Resources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Rodney Bowes</dc:creator>
  <cp:keywords/>
  <dc:description/>
  <cp:lastModifiedBy>Sai Gaikwad</cp:lastModifiedBy>
  <cp:lastPrinted>2018-02-18T11:23:54Z</cp:lastPrinted>
  <dcterms:created xsi:type="dcterms:W3CDTF">2007-10-09T17:23:39Z</dcterms:created>
  <dcterms:modified xsi:type="dcterms:W3CDTF">2025-03-27T07:18:50Z</dcterms:modified>
  <cp:category/>
</cp:coreProperties>
</file>